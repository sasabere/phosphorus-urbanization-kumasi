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asaber\ownCloud - sasaber@gwdg.de@owncloud.gwdg.de\PostDoc\Papers_To_Be_completed_from_PhD\Paper 4_Pfractions\R_analysis_2026on\Raw_data_reassessed\"/>
    </mc:Choice>
  </mc:AlternateContent>
  <xr:revisionPtr revIDLastSave="0" documentId="13_ncr:1_{82BDDABF-90D8-43E1-A684-D2833528D95D}" xr6:coauthVersionLast="47" xr6:coauthVersionMax="47" xr10:uidLastSave="{00000000-0000-0000-0000-000000000000}"/>
  <bookViews>
    <workbookView xWindow="-4590" yWindow="1350" windowWidth="29055" windowHeight="18480" activeTab="1" xr2:uid="{00000000-000D-0000-FFFF-FFFF00000000}"/>
  </bookViews>
  <sheets>
    <sheet name="P-available" sheetId="1" r:id="rId1"/>
    <sheet name="P-Ca bou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42" i="1" l="1"/>
  <c r="C341" i="1"/>
  <c r="B340" i="1"/>
  <c r="B342" i="1"/>
  <c r="C324" i="2"/>
  <c r="C323" i="2"/>
  <c r="C322" i="2"/>
  <c r="D317" i="2"/>
  <c r="D318" i="2"/>
  <c r="D319" i="2"/>
  <c r="D320" i="2"/>
  <c r="D316" i="2"/>
  <c r="D315" i="2"/>
  <c r="D314" i="2"/>
  <c r="D313" i="2"/>
  <c r="D311" i="2"/>
  <c r="D312" i="2"/>
  <c r="D310" i="2"/>
  <c r="D309" i="2"/>
  <c r="E307" i="2"/>
  <c r="D307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D302" i="2"/>
  <c r="D301" i="2"/>
  <c r="D300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3" i="2"/>
  <c r="D304" i="2"/>
  <c r="D305" i="2"/>
  <c r="D283" i="2"/>
  <c r="E263" i="2"/>
  <c r="E255" i="2"/>
  <c r="E256" i="2"/>
  <c r="E257" i="2"/>
  <c r="E258" i="2"/>
  <c r="E259" i="2"/>
  <c r="E260" i="2"/>
  <c r="E261" i="2"/>
  <c r="E262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D260" i="2"/>
  <c r="D256" i="2"/>
  <c r="D257" i="2"/>
  <c r="D258" i="2"/>
  <c r="D259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55" i="2"/>
  <c r="D229" i="2"/>
  <c r="D236" i="2"/>
  <c r="D233" i="2"/>
  <c r="D232" i="2"/>
  <c r="D230" i="2"/>
  <c r="D228" i="2"/>
  <c r="D231" i="2"/>
  <c r="D234" i="2"/>
  <c r="D235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27" i="2"/>
  <c r="E199" i="2"/>
  <c r="D216" i="2"/>
  <c r="D215" i="2"/>
  <c r="D214" i="2"/>
  <c r="D208" i="2"/>
  <c r="D204" i="2"/>
  <c r="D203" i="2"/>
  <c r="D205" i="2"/>
  <c r="D202" i="2"/>
  <c r="D200" i="2"/>
  <c r="D201" i="2"/>
  <c r="D206" i="2"/>
  <c r="D207" i="2"/>
  <c r="D209" i="2"/>
  <c r="D210" i="2"/>
  <c r="D211" i="2"/>
  <c r="D212" i="2"/>
  <c r="D213" i="2"/>
  <c r="D217" i="2"/>
  <c r="D218" i="2"/>
  <c r="D219" i="2"/>
  <c r="D220" i="2"/>
  <c r="D221" i="2"/>
  <c r="D222" i="2"/>
  <c r="D223" i="2"/>
  <c r="D199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71" i="2"/>
  <c r="D182" i="2"/>
  <c r="D172" i="2"/>
  <c r="D173" i="2"/>
  <c r="D174" i="2"/>
  <c r="D175" i="2"/>
  <c r="D176" i="2"/>
  <c r="D177" i="2"/>
  <c r="D178" i="2"/>
  <c r="D179" i="2"/>
  <c r="D180" i="2"/>
  <c r="D181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71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44" i="2"/>
  <c r="D147" i="2"/>
  <c r="D155" i="2"/>
  <c r="D163" i="2"/>
  <c r="D161" i="2"/>
  <c r="D162" i="2"/>
  <c r="D156" i="2"/>
  <c r="D154" i="2"/>
  <c r="D153" i="2"/>
  <c r="D146" i="2"/>
  <c r="D148" i="2"/>
  <c r="D149" i="2"/>
  <c r="D150" i="2"/>
  <c r="D151" i="2"/>
  <c r="D152" i="2"/>
  <c r="D157" i="2"/>
  <c r="D158" i="2"/>
  <c r="D159" i="2"/>
  <c r="D160" i="2"/>
  <c r="D164" i="2"/>
  <c r="D165" i="2"/>
  <c r="D166" i="2"/>
  <c r="D167" i="2"/>
  <c r="D168" i="2"/>
  <c r="D145" i="2"/>
  <c r="D144" i="2"/>
  <c r="D140" i="2"/>
  <c r="D118" i="2"/>
  <c r="D121" i="2"/>
  <c r="D122" i="2"/>
  <c r="D126" i="2"/>
  <c r="D127" i="2"/>
  <c r="D128" i="2"/>
  <c r="D131" i="2"/>
  <c r="D133" i="2"/>
  <c r="D137" i="2"/>
  <c r="D138" i="2"/>
  <c r="D139" i="2"/>
  <c r="D117" i="2"/>
  <c r="D119" i="2"/>
  <c r="D116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88" i="2"/>
  <c r="D98" i="2"/>
  <c r="D93" i="2"/>
  <c r="D91" i="2"/>
  <c r="D89" i="2"/>
  <c r="D90" i="2"/>
  <c r="D92" i="2"/>
  <c r="D94" i="2"/>
  <c r="D95" i="2"/>
  <c r="D96" i="2"/>
  <c r="D97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88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60" i="2"/>
  <c r="D74" i="2"/>
  <c r="D63" i="2"/>
  <c r="D62" i="2"/>
  <c r="D61" i="2"/>
  <c r="D64" i="2"/>
  <c r="D65" i="2"/>
  <c r="D66" i="2"/>
  <c r="D67" i="2"/>
  <c r="D68" i="2"/>
  <c r="D69" i="2"/>
  <c r="D70" i="2"/>
  <c r="D71" i="2"/>
  <c r="D72" i="2"/>
  <c r="D73" i="2"/>
  <c r="D75" i="2"/>
  <c r="D76" i="2"/>
  <c r="D77" i="2"/>
  <c r="D78" i="2"/>
  <c r="D79" i="2"/>
  <c r="D80" i="2"/>
  <c r="D81" i="2"/>
  <c r="D82" i="2"/>
  <c r="D83" i="2"/>
  <c r="D84" i="2"/>
  <c r="D60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32" i="2"/>
  <c r="D52" i="2"/>
  <c r="D50" i="2"/>
  <c r="D49" i="2"/>
  <c r="D40" i="2"/>
  <c r="D39" i="2"/>
  <c r="D38" i="2"/>
  <c r="D37" i="2"/>
  <c r="D35" i="2"/>
  <c r="D12" i="2"/>
  <c r="E12" i="2" s="1"/>
  <c r="D33" i="2"/>
  <c r="D34" i="2"/>
  <c r="D36" i="2"/>
  <c r="D41" i="2"/>
  <c r="D42" i="2"/>
  <c r="D43" i="2"/>
  <c r="D44" i="2"/>
  <c r="D45" i="2"/>
  <c r="D46" i="2"/>
  <c r="D47" i="2"/>
  <c r="D48" i="2"/>
  <c r="D51" i="2"/>
  <c r="D53" i="2"/>
  <c r="D54" i="2"/>
  <c r="D55" i="2"/>
  <c r="D56" i="2"/>
  <c r="D32" i="2"/>
  <c r="E5" i="2"/>
  <c r="E6" i="2"/>
  <c r="E7" i="2"/>
  <c r="E10" i="2"/>
  <c r="E11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4" i="2"/>
  <c r="D22" i="2"/>
  <c r="D11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7" i="2"/>
  <c r="D28" i="2"/>
  <c r="D10" i="2"/>
  <c r="D5" i="2"/>
  <c r="D6" i="2"/>
  <c r="D7" i="2"/>
  <c r="D4" i="2"/>
  <c r="D322" i="1"/>
  <c r="D337" i="1"/>
  <c r="D332" i="1"/>
  <c r="D333" i="1"/>
  <c r="D334" i="1"/>
  <c r="D335" i="1"/>
  <c r="D331" i="1"/>
  <c r="D330" i="1"/>
  <c r="D325" i="1"/>
  <c r="D326" i="1"/>
  <c r="D327" i="1"/>
  <c r="D328" i="1"/>
  <c r="D329" i="1"/>
  <c r="D324" i="1"/>
  <c r="D31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D317" i="1"/>
  <c r="D320" i="1"/>
  <c r="D319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298" i="1"/>
  <c r="D272" i="1"/>
  <c r="D273" i="1"/>
  <c r="E273" i="1" s="1"/>
  <c r="D274" i="1"/>
  <c r="D275" i="1"/>
  <c r="D276" i="1"/>
  <c r="D277" i="1"/>
  <c r="D278" i="1"/>
  <c r="D279" i="1"/>
  <c r="D280" i="1"/>
  <c r="D281" i="1"/>
  <c r="D282" i="1"/>
  <c r="D283" i="1"/>
  <c r="E283" i="1" s="1"/>
  <c r="D284" i="1"/>
  <c r="E284" i="1" s="1"/>
  <c r="D285" i="1"/>
  <c r="E285" i="1" s="1"/>
  <c r="D286" i="1"/>
  <c r="E286" i="1" s="1"/>
  <c r="D287" i="1"/>
  <c r="E287" i="1" s="1"/>
  <c r="D288" i="1"/>
  <c r="D289" i="1"/>
  <c r="E289" i="1" s="1"/>
  <c r="D290" i="1"/>
  <c r="D291" i="1"/>
  <c r="D292" i="1"/>
  <c r="D293" i="1"/>
  <c r="D294" i="1"/>
  <c r="D295" i="1"/>
  <c r="D271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D262" i="1"/>
  <c r="D263" i="1"/>
  <c r="D264" i="1"/>
  <c r="D265" i="1"/>
  <c r="D266" i="1"/>
  <c r="D267" i="1"/>
  <c r="D268" i="1"/>
  <c r="D261" i="1"/>
  <c r="D260" i="1"/>
  <c r="D255" i="1"/>
  <c r="D256" i="1"/>
  <c r="D257" i="1"/>
  <c r="D258" i="1"/>
  <c r="D259" i="1"/>
  <c r="D254" i="1"/>
  <c r="D253" i="1"/>
  <c r="D250" i="1"/>
  <c r="D252" i="1"/>
  <c r="D251" i="1"/>
  <c r="D245" i="1"/>
  <c r="D246" i="1"/>
  <c r="D247" i="1"/>
  <c r="D248" i="1"/>
  <c r="D249" i="1"/>
  <c r="D244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D232" i="1"/>
  <c r="D226" i="1"/>
  <c r="D223" i="1"/>
  <c r="D222" i="1"/>
  <c r="D234" i="1"/>
  <c r="D235" i="1"/>
  <c r="D236" i="1"/>
  <c r="D237" i="1"/>
  <c r="D238" i="1"/>
  <c r="D239" i="1"/>
  <c r="D240" i="1"/>
  <c r="D241" i="1"/>
  <c r="D233" i="1"/>
  <c r="D228" i="1"/>
  <c r="D229" i="1"/>
  <c r="D230" i="1"/>
  <c r="D231" i="1"/>
  <c r="D227" i="1"/>
  <c r="D225" i="1"/>
  <c r="D224" i="1"/>
  <c r="D221" i="1"/>
  <c r="D220" i="1"/>
  <c r="D218" i="1"/>
  <c r="D219" i="1"/>
  <c r="D217" i="1"/>
  <c r="E206" i="1"/>
  <c r="E201" i="1"/>
  <c r="E191" i="1"/>
  <c r="E192" i="1"/>
  <c r="E193" i="1"/>
  <c r="E194" i="1"/>
  <c r="E195" i="1"/>
  <c r="E196" i="1"/>
  <c r="E197" i="1"/>
  <c r="E198" i="1"/>
  <c r="E199" i="1"/>
  <c r="E200" i="1"/>
  <c r="E202" i="1"/>
  <c r="E203" i="1"/>
  <c r="E204" i="1"/>
  <c r="E205" i="1"/>
  <c r="E207" i="1"/>
  <c r="E208" i="1"/>
  <c r="E209" i="1"/>
  <c r="E210" i="1"/>
  <c r="E211" i="1"/>
  <c r="E212" i="1"/>
  <c r="E213" i="1"/>
  <c r="E214" i="1"/>
  <c r="E244" i="1"/>
  <c r="E271" i="1"/>
  <c r="E272" i="1"/>
  <c r="E274" i="1"/>
  <c r="E275" i="1"/>
  <c r="E276" i="1"/>
  <c r="E277" i="1"/>
  <c r="E278" i="1"/>
  <c r="E279" i="1"/>
  <c r="E280" i="1"/>
  <c r="E281" i="1"/>
  <c r="E282" i="1"/>
  <c r="E288" i="1"/>
  <c r="E290" i="1"/>
  <c r="E291" i="1"/>
  <c r="E292" i="1"/>
  <c r="E293" i="1"/>
  <c r="E294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02" i="1"/>
  <c r="D200" i="1"/>
  <c r="D199" i="1"/>
  <c r="D195" i="1"/>
  <c r="D196" i="1"/>
  <c r="D197" i="1"/>
  <c r="D194" i="1"/>
  <c r="D201" i="1"/>
  <c r="D198" i="1"/>
  <c r="D193" i="1"/>
  <c r="D190" i="1"/>
  <c r="D192" i="1"/>
  <c r="D191" i="1"/>
  <c r="D184" i="1"/>
  <c r="D185" i="1"/>
  <c r="D186" i="1"/>
  <c r="D187" i="1"/>
  <c r="D183" i="1"/>
  <c r="D182" i="1"/>
  <c r="D181" i="1"/>
  <c r="D180" i="1"/>
  <c r="D177" i="1"/>
  <c r="D178" i="1"/>
  <c r="D179" i="1"/>
  <c r="D176" i="1"/>
  <c r="D175" i="1"/>
  <c r="D174" i="1"/>
  <c r="D168" i="1"/>
  <c r="D169" i="1"/>
  <c r="D170" i="1"/>
  <c r="D171" i="1"/>
  <c r="D172" i="1"/>
  <c r="D173" i="1"/>
  <c r="D167" i="1"/>
  <c r="D166" i="1"/>
  <c r="D164" i="1"/>
  <c r="D165" i="1"/>
  <c r="D163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35" i="1"/>
  <c r="D132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14" i="1"/>
  <c r="D109" i="1"/>
  <c r="D110" i="1"/>
  <c r="D111" i="1"/>
  <c r="D108" i="1"/>
  <c r="D113" i="1"/>
  <c r="D112" i="1"/>
  <c r="D95" i="1"/>
  <c r="D96" i="1"/>
  <c r="D97" i="1"/>
  <c r="D98" i="1"/>
  <c r="D99" i="1"/>
  <c r="D100" i="1"/>
  <c r="D101" i="1"/>
  <c r="D102" i="1"/>
  <c r="D103" i="1"/>
  <c r="D104" i="1"/>
  <c r="D94" i="1"/>
  <c r="D93" i="1"/>
  <c r="D84" i="1"/>
  <c r="D85" i="1"/>
  <c r="D86" i="1"/>
  <c r="D87" i="1"/>
  <c r="D88" i="1"/>
  <c r="D89" i="1"/>
  <c r="D90" i="1"/>
  <c r="D91" i="1"/>
  <c r="D92" i="1"/>
  <c r="D83" i="1"/>
  <c r="D82" i="1"/>
  <c r="D81" i="1"/>
  <c r="D80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61" i="1"/>
  <c r="D53" i="1"/>
  <c r="D60" i="1"/>
  <c r="D59" i="1"/>
  <c r="D58" i="1"/>
  <c r="D54" i="1"/>
  <c r="D56" i="1"/>
  <c r="D57" i="1"/>
  <c r="D5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5" i="1"/>
  <c r="B341" i="1" l="1"/>
  <c r="E298" i="1"/>
  <c r="E217" i="1"/>
  <c r="E313" i="2" l="1"/>
  <c r="E314" i="2"/>
  <c r="E315" i="2"/>
  <c r="E337" i="1"/>
  <c r="E310" i="2"/>
  <c r="E312" i="2"/>
  <c r="E316" i="2"/>
  <c r="E317" i="2"/>
  <c r="E309" i="2"/>
  <c r="E319" i="2" l="1"/>
  <c r="E318" i="2"/>
  <c r="E311" i="2"/>
  <c r="E320" i="2"/>
  <c r="E334" i="1"/>
  <c r="E333" i="1"/>
  <c r="E332" i="1"/>
  <c r="E331" i="1"/>
  <c r="E330" i="1"/>
  <c r="E329" i="1"/>
  <c r="E328" i="1"/>
  <c r="E327" i="1"/>
  <c r="E326" i="1"/>
  <c r="E325" i="1"/>
  <c r="E324" i="1"/>
  <c r="E148" i="1" l="1"/>
  <c r="E143" i="1"/>
  <c r="E142" i="1"/>
  <c r="E139" i="1"/>
  <c r="K90" i="2"/>
  <c r="E283" i="2" l="1"/>
  <c r="E236" i="2"/>
  <c r="E233" i="2"/>
  <c r="E232" i="2"/>
  <c r="E230" i="2"/>
  <c r="E231" i="2"/>
  <c r="E234" i="2"/>
  <c r="E235" i="2"/>
  <c r="E237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28" i="2"/>
  <c r="E227" i="2"/>
  <c r="E215" i="2"/>
  <c r="E216" i="2"/>
  <c r="E214" i="2"/>
  <c r="E204" i="2"/>
  <c r="E208" i="2"/>
  <c r="E205" i="2"/>
  <c r="E202" i="2"/>
  <c r="E203" i="2"/>
  <c r="E200" i="2"/>
  <c r="E201" i="2"/>
  <c r="E206" i="2"/>
  <c r="E207" i="2"/>
  <c r="E209" i="2"/>
  <c r="E210" i="2"/>
  <c r="E211" i="2"/>
  <c r="E212" i="2"/>
  <c r="E213" i="2"/>
  <c r="E217" i="2"/>
  <c r="E218" i="2"/>
  <c r="E219" i="2"/>
  <c r="E220" i="2"/>
  <c r="E221" i="2"/>
  <c r="E222" i="2"/>
  <c r="E118" i="2"/>
  <c r="E121" i="2"/>
  <c r="E122" i="2"/>
  <c r="E126" i="2"/>
  <c r="E127" i="2"/>
  <c r="E128" i="2"/>
  <c r="E131" i="2"/>
  <c r="E133" i="2"/>
  <c r="E137" i="2"/>
  <c r="E138" i="2"/>
  <c r="E139" i="2"/>
  <c r="E117" i="2"/>
  <c r="E119" i="2"/>
  <c r="E116" i="2"/>
  <c r="E33" i="1"/>
  <c r="E34" i="1"/>
  <c r="E35" i="1"/>
  <c r="E40" i="1"/>
  <c r="E44" i="1"/>
  <c r="E48" i="1"/>
  <c r="E49" i="1"/>
  <c r="E25" i="1"/>
  <c r="E61" i="1"/>
  <c r="E62" i="1"/>
  <c r="E63" i="1"/>
  <c r="E64" i="1"/>
  <c r="E65" i="1"/>
  <c r="E66" i="1"/>
  <c r="E67" i="1"/>
  <c r="E55" i="1"/>
  <c r="E53" i="1"/>
  <c r="E73" i="1" l="1"/>
  <c r="E69" i="1"/>
  <c r="E47" i="1"/>
  <c r="E60" i="1"/>
  <c r="E58" i="1"/>
  <c r="E30" i="1"/>
  <c r="E42" i="1"/>
  <c r="E31" i="1"/>
  <c r="E46" i="1"/>
  <c r="E28" i="1"/>
  <c r="E75" i="1"/>
  <c r="E74" i="1"/>
  <c r="E72" i="1"/>
  <c r="E77" i="1"/>
  <c r="E32" i="1"/>
  <c r="E29" i="1"/>
  <c r="E59" i="1"/>
  <c r="E27" i="1"/>
  <c r="E71" i="1"/>
  <c r="E39" i="1"/>
  <c r="E45" i="1"/>
  <c r="E76" i="1"/>
  <c r="E26" i="1"/>
  <c r="E70" i="1"/>
  <c r="E38" i="1"/>
  <c r="E190" i="1"/>
  <c r="E43" i="1"/>
  <c r="E56" i="1"/>
  <c r="E41" i="1"/>
  <c r="E57" i="1"/>
  <c r="E93" i="1"/>
  <c r="E82" i="1"/>
  <c r="E68" i="1"/>
  <c r="E36" i="1"/>
  <c r="E54" i="1"/>
  <c r="E37" i="1"/>
  <c r="E89" i="1"/>
  <c r="E80" i="1"/>
  <c r="E101" i="1"/>
  <c r="E97" i="1"/>
  <c r="E92" i="1"/>
  <c r="E88" i="1"/>
  <c r="E84" i="1"/>
  <c r="E94" i="1"/>
  <c r="E100" i="1"/>
  <c r="E96" i="1"/>
  <c r="E91" i="1"/>
  <c r="E87" i="1"/>
  <c r="E83" i="1"/>
  <c r="E102" i="1"/>
  <c r="E103" i="1"/>
  <c r="E99" i="1"/>
  <c r="E95" i="1"/>
  <c r="E90" i="1"/>
  <c r="E86" i="1"/>
  <c r="E81" i="1"/>
  <c r="E98" i="1"/>
  <c r="E104" i="1"/>
  <c r="E85" i="1"/>
  <c r="E135" i="1"/>
  <c r="E136" i="1"/>
  <c r="E137" i="1"/>
  <c r="E138" i="1"/>
  <c r="E140" i="1"/>
  <c r="E141" i="1"/>
  <c r="E144" i="1"/>
  <c r="E145" i="1"/>
  <c r="E146" i="1"/>
  <c r="E147" i="1"/>
  <c r="E149" i="1"/>
  <c r="E150" i="1"/>
  <c r="E151" i="1"/>
  <c r="E152" i="1"/>
  <c r="E153" i="1"/>
  <c r="E154" i="1"/>
  <c r="E155" i="1"/>
  <c r="E156" i="1"/>
  <c r="E157" i="1"/>
  <c r="E158" i="1"/>
  <c r="E165" i="1"/>
  <c r="E167" i="1"/>
  <c r="E168" i="1"/>
  <c r="E170" i="1"/>
  <c r="E171" i="1" l="1"/>
  <c r="E176" i="1"/>
  <c r="E175" i="1"/>
  <c r="E174" i="1"/>
  <c r="E182" i="1"/>
  <c r="E166" i="1"/>
  <c r="E180" i="1"/>
  <c r="E186" i="1"/>
  <c r="E113" i="1"/>
  <c r="E112" i="1"/>
  <c r="E181" i="1"/>
  <c r="E184" i="1"/>
  <c r="E178" i="1"/>
  <c r="E164" i="1"/>
  <c r="E172" i="1"/>
  <c r="E173" i="1"/>
  <c r="E183" i="1"/>
  <c r="E177" i="1"/>
  <c r="E185" i="1"/>
  <c r="E179" i="1"/>
  <c r="E169" i="1"/>
  <c r="E163" i="1"/>
  <c r="E187" i="1"/>
  <c r="F190" i="1"/>
  <c r="F201" i="1"/>
  <c r="F198" i="1"/>
  <c r="F193" i="1"/>
  <c r="F192" i="1"/>
  <c r="F194" i="1"/>
  <c r="F195" i="1"/>
  <c r="F196" i="1"/>
  <c r="F197" i="1"/>
  <c r="F199" i="1"/>
  <c r="F200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191" i="1"/>
  <c r="E118" i="1" l="1"/>
  <c r="E128" i="1"/>
  <c r="E120" i="1"/>
  <c r="E131" i="1"/>
  <c r="E127" i="1"/>
  <c r="E123" i="1"/>
  <c r="E115" i="1"/>
  <c r="E111" i="1"/>
  <c r="E124" i="1"/>
  <c r="E116" i="1"/>
  <c r="E119" i="1"/>
  <c r="E108" i="1"/>
  <c r="E129" i="1"/>
  <c r="E125" i="1"/>
  <c r="E121" i="1"/>
  <c r="E117" i="1"/>
  <c r="E109" i="1"/>
  <c r="E122" i="1"/>
  <c r="E114" i="1"/>
  <c r="E126" i="1"/>
  <c r="E110" i="1"/>
  <c r="E132" i="1"/>
  <c r="E130" i="1"/>
  <c r="D14" i="1" l="1"/>
  <c r="D15" i="1"/>
  <c r="D16" i="1"/>
  <c r="D17" i="1"/>
  <c r="D18" i="1"/>
  <c r="D19" i="1"/>
  <c r="D20" i="1"/>
</calcChain>
</file>

<file path=xl/sharedStrings.xml><?xml version="1.0" encoding="utf-8"?>
<sst xmlns="http://schemas.openxmlformats.org/spreadsheetml/2006/main" count="679" uniqueCount="273">
  <si>
    <t>Samples</t>
  </si>
  <si>
    <t>Abs.</t>
  </si>
  <si>
    <t>Conc.</t>
  </si>
  <si>
    <t>Bk1</t>
  </si>
  <si>
    <t>Standard! 14/06/2018</t>
  </si>
  <si>
    <t>Standards 05/06/2018</t>
  </si>
  <si>
    <t>Standard 10/06/2018</t>
  </si>
  <si>
    <t xml:space="preserve">Preparations area for samples measured </t>
  </si>
  <si>
    <t>HS1</t>
  </si>
  <si>
    <t>HS2</t>
  </si>
  <si>
    <t>BK1</t>
  </si>
  <si>
    <t xml:space="preserve">Sample </t>
  </si>
  <si>
    <t>Absorb</t>
  </si>
  <si>
    <t>Caliberation</t>
  </si>
  <si>
    <t>20.06.2018</t>
  </si>
  <si>
    <t>HS3</t>
  </si>
  <si>
    <t xml:space="preserve">old </t>
  </si>
  <si>
    <t>new</t>
  </si>
  <si>
    <t>[ppm]</t>
  </si>
  <si>
    <t>Conc (-BK)</t>
  </si>
  <si>
    <t>201</t>
  </si>
  <si>
    <t>204</t>
  </si>
  <si>
    <t>206</t>
  </si>
  <si>
    <t>210</t>
  </si>
  <si>
    <t>213</t>
  </si>
  <si>
    <t>216</t>
  </si>
  <si>
    <t>219</t>
  </si>
  <si>
    <t>221</t>
  </si>
  <si>
    <t>224</t>
  </si>
  <si>
    <t>228</t>
  </si>
  <si>
    <t>232</t>
  </si>
  <si>
    <t>233</t>
  </si>
  <si>
    <t>238</t>
  </si>
  <si>
    <t>241</t>
  </si>
  <si>
    <t>243</t>
  </si>
  <si>
    <t>246</t>
  </si>
  <si>
    <t>250</t>
  </si>
  <si>
    <t>251</t>
  </si>
  <si>
    <t>254</t>
  </si>
  <si>
    <t>259</t>
  </si>
  <si>
    <t>260</t>
  </si>
  <si>
    <t>263</t>
  </si>
  <si>
    <t>HS7</t>
  </si>
  <si>
    <t>HS8</t>
  </si>
  <si>
    <t>BK4</t>
  </si>
  <si>
    <t>Standard! 26/06/2018</t>
  </si>
  <si>
    <t>old</t>
  </si>
  <si>
    <t>10X</t>
  </si>
  <si>
    <t>Standards 20.06.2018</t>
  </si>
  <si>
    <t>Standards 25.06.2018</t>
  </si>
  <si>
    <t>135</t>
  </si>
  <si>
    <t>137</t>
  </si>
  <si>
    <t>141</t>
  </si>
  <si>
    <t>142</t>
  </si>
  <si>
    <t>146</t>
  </si>
  <si>
    <t>149</t>
  </si>
  <si>
    <t>151</t>
  </si>
  <si>
    <t>155</t>
  </si>
  <si>
    <t>159</t>
  </si>
  <si>
    <t>160</t>
  </si>
  <si>
    <t>165</t>
  </si>
  <si>
    <t>167</t>
  </si>
  <si>
    <t>170</t>
  </si>
  <si>
    <t>173</t>
  </si>
  <si>
    <t>177</t>
  </si>
  <si>
    <t>180</t>
  </si>
  <si>
    <t>182</t>
  </si>
  <si>
    <t>184</t>
  </si>
  <si>
    <t>188</t>
  </si>
  <si>
    <t>190</t>
  </si>
  <si>
    <t>194</t>
  </si>
  <si>
    <t>197</t>
  </si>
  <si>
    <t>HS5</t>
  </si>
  <si>
    <t>HS6</t>
  </si>
  <si>
    <t>BK3</t>
  </si>
  <si>
    <t>266</t>
  </si>
  <si>
    <t>271</t>
  </si>
  <si>
    <t>274</t>
  </si>
  <si>
    <t>277</t>
  </si>
  <si>
    <t>279</t>
  </si>
  <si>
    <t>281</t>
  </si>
  <si>
    <t>285</t>
  </si>
  <si>
    <t>288</t>
  </si>
  <si>
    <t>290</t>
  </si>
  <si>
    <t>294</t>
  </si>
  <si>
    <t>297</t>
  </si>
  <si>
    <t>299</t>
  </si>
  <si>
    <t>301</t>
  </si>
  <si>
    <t>303</t>
  </si>
  <si>
    <t>308</t>
  </si>
  <si>
    <t>312</t>
  </si>
  <si>
    <t>315</t>
  </si>
  <si>
    <t>317</t>
  </si>
  <si>
    <t>321</t>
  </si>
  <si>
    <t>324</t>
  </si>
  <si>
    <t>326</t>
  </si>
  <si>
    <t>330</t>
  </si>
  <si>
    <t>HS9</t>
  </si>
  <si>
    <t>HS10</t>
  </si>
  <si>
    <t>BK5</t>
  </si>
  <si>
    <t>03,07,2018</t>
  </si>
  <si>
    <t>04,07,2018</t>
  </si>
  <si>
    <t>Standard! 03/07/2018</t>
  </si>
  <si>
    <t>10x</t>
  </si>
  <si>
    <t>Standard! 04/07/2018</t>
  </si>
  <si>
    <t>334</t>
  </si>
  <si>
    <t>335</t>
  </si>
  <si>
    <t>338</t>
  </si>
  <si>
    <t>343</t>
  </si>
  <si>
    <t>345</t>
  </si>
  <si>
    <t>348</t>
  </si>
  <si>
    <t>350</t>
  </si>
  <si>
    <t>353</t>
  </si>
  <si>
    <t>356</t>
  </si>
  <si>
    <t>361</t>
  </si>
  <si>
    <t>363</t>
  </si>
  <si>
    <t>365</t>
  </si>
  <si>
    <t>369</t>
  </si>
  <si>
    <t>371</t>
  </si>
  <si>
    <t>374</t>
  </si>
  <si>
    <t>378</t>
  </si>
  <si>
    <t>380</t>
  </si>
  <si>
    <t>383</t>
  </si>
  <si>
    <t>388</t>
  </si>
  <si>
    <t>389</t>
  </si>
  <si>
    <t>393</t>
  </si>
  <si>
    <t>395</t>
  </si>
  <si>
    <t>SA1</t>
  </si>
  <si>
    <t>SA2</t>
  </si>
  <si>
    <t>BK6</t>
  </si>
  <si>
    <t>400</t>
  </si>
  <si>
    <t>401</t>
  </si>
  <si>
    <t>404</t>
  </si>
  <si>
    <t>410</t>
  </si>
  <si>
    <t>413</t>
  </si>
  <si>
    <t>417</t>
  </si>
  <si>
    <t>419</t>
  </si>
  <si>
    <t>422</t>
  </si>
  <si>
    <t>426</t>
  </si>
  <si>
    <t>429</t>
  </si>
  <si>
    <t>432</t>
  </si>
  <si>
    <t>434</t>
  </si>
  <si>
    <t>439</t>
  </si>
  <si>
    <t>442</t>
  </si>
  <si>
    <t>443</t>
  </si>
  <si>
    <t>447</t>
  </si>
  <si>
    <t>449</t>
  </si>
  <si>
    <t>468</t>
  </si>
  <si>
    <t>471</t>
  </si>
  <si>
    <t>473</t>
  </si>
  <si>
    <t>475</t>
  </si>
  <si>
    <t>SA3</t>
  </si>
  <si>
    <t>SA4</t>
  </si>
  <si>
    <t>BK7</t>
  </si>
  <si>
    <t>479</t>
  </si>
  <si>
    <t>483</t>
  </si>
  <si>
    <t>486</t>
  </si>
  <si>
    <t>490</t>
  </si>
  <si>
    <t>493</t>
  </si>
  <si>
    <t>494</t>
  </si>
  <si>
    <t>497</t>
  </si>
  <si>
    <t>500</t>
  </si>
  <si>
    <t>503</t>
  </si>
  <si>
    <t>506</t>
  </si>
  <si>
    <t>509</t>
  </si>
  <si>
    <t>515</t>
  </si>
  <si>
    <t>513</t>
  </si>
  <si>
    <t>518</t>
  </si>
  <si>
    <t>519</t>
  </si>
  <si>
    <t>524</t>
  </si>
  <si>
    <t>527</t>
  </si>
  <si>
    <t>530</t>
  </si>
  <si>
    <t>532</t>
  </si>
  <si>
    <t>536</t>
  </si>
  <si>
    <t>538</t>
  </si>
  <si>
    <t>540</t>
  </si>
  <si>
    <t>SA5</t>
  </si>
  <si>
    <t>SA6</t>
  </si>
  <si>
    <t>BK8</t>
  </si>
  <si>
    <t>545</t>
  </si>
  <si>
    <t>546</t>
  </si>
  <si>
    <t>549</t>
  </si>
  <si>
    <t>552</t>
  </si>
  <si>
    <t>556</t>
  </si>
  <si>
    <t>559</t>
  </si>
  <si>
    <t>561</t>
  </si>
  <si>
    <t>564</t>
  </si>
  <si>
    <t>568</t>
  </si>
  <si>
    <t>572</t>
  </si>
  <si>
    <t>574</t>
  </si>
  <si>
    <t>576</t>
  </si>
  <si>
    <t>579</t>
  </si>
  <si>
    <t>583</t>
  </si>
  <si>
    <t>586</t>
  </si>
  <si>
    <t>589</t>
  </si>
  <si>
    <t>592</t>
  </si>
  <si>
    <t>595</t>
  </si>
  <si>
    <t>599</t>
  </si>
  <si>
    <t>601</t>
  </si>
  <si>
    <t>603</t>
  </si>
  <si>
    <t>606</t>
  </si>
  <si>
    <t>SA7</t>
  </si>
  <si>
    <t>SA8</t>
  </si>
  <si>
    <t>BK9</t>
  </si>
  <si>
    <t>611</t>
  </si>
  <si>
    <t>614</t>
  </si>
  <si>
    <t>617</t>
  </si>
  <si>
    <t>620</t>
  </si>
  <si>
    <t>623</t>
  </si>
  <si>
    <t>626</t>
  </si>
  <si>
    <t>627</t>
  </si>
  <si>
    <t>631</t>
  </si>
  <si>
    <t>633</t>
  </si>
  <si>
    <t>637</t>
  </si>
  <si>
    <t>640</t>
  </si>
  <si>
    <t>643</t>
  </si>
  <si>
    <t>645</t>
  </si>
  <si>
    <t>650</t>
  </si>
  <si>
    <t>SA9</t>
  </si>
  <si>
    <t>SA10</t>
  </si>
  <si>
    <t>BK10</t>
  </si>
  <si>
    <t>SA11</t>
  </si>
  <si>
    <t>SA12</t>
  </si>
  <si>
    <t>BK11</t>
  </si>
  <si>
    <t>26,06,2018</t>
  </si>
  <si>
    <t>02,07,2018</t>
  </si>
  <si>
    <t>06,07,2018</t>
  </si>
  <si>
    <t>10,07,2018</t>
  </si>
  <si>
    <t>24,07,2018</t>
  </si>
  <si>
    <t>23,07,2018</t>
  </si>
  <si>
    <t>Standard! 06/07/2018</t>
  </si>
  <si>
    <t>100x</t>
  </si>
  <si>
    <t>Standard!10/07/2018</t>
  </si>
  <si>
    <t>Standard! 24/07/2018</t>
  </si>
  <si>
    <t>Standard!23/07/2018</t>
  </si>
  <si>
    <t>Standard!31/07/2018</t>
  </si>
  <si>
    <t>09,07,2018</t>
  </si>
  <si>
    <t>Standards 09,07,2018</t>
  </si>
  <si>
    <t>Standards 11,07,2018</t>
  </si>
  <si>
    <t>Standards 12,07,2018</t>
  </si>
  <si>
    <t>Standards 13,07,2018</t>
  </si>
  <si>
    <t>Standards 16,07,2018</t>
  </si>
  <si>
    <t>Standards 26,07,2018</t>
  </si>
  <si>
    <t>Standards 23,07,2018</t>
  </si>
  <si>
    <t xml:space="preserve"> </t>
  </si>
  <si>
    <t>Standard! 20/06/2018</t>
  </si>
  <si>
    <t>Standard! 15/06/2018</t>
  </si>
  <si>
    <t>BK/Sa</t>
  </si>
  <si>
    <t>%</t>
  </si>
  <si>
    <t>12,07,2018</t>
  </si>
  <si>
    <t>Standards 03,08,2018</t>
  </si>
  <si>
    <t>SA13</t>
  </si>
  <si>
    <t>SA14</t>
  </si>
  <si>
    <t>HS11</t>
  </si>
  <si>
    <t>HS12</t>
  </si>
  <si>
    <t>BK12</t>
  </si>
  <si>
    <t>Standards 14,08,2018</t>
  </si>
  <si>
    <t>Standards 18,08,2018</t>
    <phoneticPr fontId="7" type="noConversion"/>
  </si>
  <si>
    <t>BK2</t>
  </si>
  <si>
    <t>c</t>
  </si>
  <si>
    <t>b=</t>
  </si>
  <si>
    <t>c=</t>
  </si>
  <si>
    <t>50x</t>
  </si>
  <si>
    <t>Possilbe contamination - but the samples seem to have extremely low P</t>
  </si>
  <si>
    <t xml:space="preserve">LOD= </t>
  </si>
  <si>
    <t>LOQ=</t>
  </si>
  <si>
    <t>Blank SD</t>
  </si>
  <si>
    <r>
      <t xml:space="preserve">If you report in </t>
    </r>
    <r>
      <rPr>
        <b/>
        <sz val="11"/>
        <color theme="1"/>
        <rFont val="Calibri"/>
        <family val="2"/>
        <charset val="1"/>
        <scheme val="minor"/>
      </rPr>
      <t>g/kg</t>
    </r>
    <r>
      <rPr>
        <sz val="11"/>
        <color theme="1"/>
        <rFont val="Calibri"/>
        <family val="2"/>
        <charset val="1"/>
        <scheme val="minor"/>
      </rPr>
      <t>:</t>
    </r>
  </si>
  <si>
    <r>
      <t>LOD</t>
    </r>
    <r>
      <rPr>
        <sz val="11"/>
        <color theme="1"/>
        <rFont val="Calibri"/>
        <family val="2"/>
        <charset val="1"/>
        <scheme val="minor"/>
      </rPr>
      <t xml:space="preserve"> = 3.0796181 / 1000 = </t>
    </r>
    <r>
      <rPr>
        <b/>
        <sz val="11"/>
        <color theme="1"/>
        <rFont val="Calibri"/>
        <family val="2"/>
        <charset val="1"/>
        <scheme val="minor"/>
      </rPr>
      <t>0.0030796 g/kg</t>
    </r>
  </si>
  <si>
    <r>
      <t>LOQ</t>
    </r>
    <r>
      <rPr>
        <sz val="11"/>
        <color theme="1"/>
        <rFont val="Calibri"/>
        <family val="2"/>
        <charset val="1"/>
        <scheme val="minor"/>
      </rPr>
      <t xml:space="preserve"> = 10.2653937 / 1000 = </t>
    </r>
    <r>
      <rPr>
        <b/>
        <sz val="11"/>
        <color theme="1"/>
        <rFont val="Calibri"/>
        <family val="2"/>
        <charset val="1"/>
        <scheme val="minor"/>
      </rPr>
      <t>0.0102654 g/kg</t>
    </r>
  </si>
  <si>
    <t xml:space="preserve">To convert from amount in solution to mg/kg: </t>
  </si>
  <si>
    <t>mg/kg</t>
  </si>
  <si>
    <r>
      <t xml:space="preserve">Conversion factor = V/m=0.05 L/0.001 kg= </t>
    </r>
    <r>
      <rPr>
        <b/>
        <sz val="14"/>
        <color theme="1"/>
        <rFont val="Calibri"/>
        <family val="2"/>
        <scheme val="minor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</si>
</sst>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0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72">
    <xf numFmtId="0" fontId="0" fillId="0" borderId="0" xfId="0"/>
    <xf numFmtId="164" fontId="0" fillId="0" borderId="0" xfId="0" applyNumberFormat="1"/>
    <xf numFmtId="0" fontId="0" fillId="0" borderId="1" xfId="0" applyBorder="1"/>
    <xf numFmtId="14" fontId="0" fillId="2" borderId="4" xfId="0" applyNumberFormat="1" applyFill="1" applyBorder="1" applyAlignment="1"/>
    <xf numFmtId="0" fontId="0" fillId="2" borderId="1" xfId="0" applyFill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1" xfId="0" applyFill="1" applyBorder="1"/>
    <xf numFmtId="164" fontId="0" fillId="0" borderId="1" xfId="0" applyNumberFormat="1" applyBorder="1"/>
    <xf numFmtId="164" fontId="1" fillId="0" borderId="0" xfId="0" applyNumberFormat="1" applyFont="1"/>
    <xf numFmtId="164" fontId="0" fillId="2" borderId="0" xfId="0" applyNumberFormat="1" applyFill="1"/>
    <xf numFmtId="164" fontId="0" fillId="2" borderId="0" xfId="0" applyNumberFormat="1" applyFont="1" applyFill="1"/>
    <xf numFmtId="164" fontId="0" fillId="0" borderId="0" xfId="0" applyNumberFormat="1" applyFill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0" xfId="0" applyFill="1"/>
    <xf numFmtId="0" fontId="3" fillId="0" borderId="0" xfId="0" applyFont="1" applyFill="1"/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4" fillId="0" borderId="0" xfId="0" applyFont="1" applyFill="1"/>
    <xf numFmtId="0" fontId="4" fillId="2" borderId="0" xfId="0" applyFont="1" applyFill="1"/>
    <xf numFmtId="0" fontId="6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164" fontId="3" fillId="0" borderId="0" xfId="0" applyNumberFormat="1" applyFont="1"/>
    <xf numFmtId="164" fontId="0" fillId="0" borderId="0" xfId="0" applyNumberFormat="1" applyFill="1" applyBorder="1"/>
    <xf numFmtId="0" fontId="0" fillId="2" borderId="0" xfId="0" applyFill="1" applyAlignment="1">
      <alignment horizontal="right"/>
    </xf>
    <xf numFmtId="164" fontId="0" fillId="2" borderId="0" xfId="0" applyNumberFormat="1" applyFont="1" applyFill="1" applyBorder="1"/>
    <xf numFmtId="0" fontId="0" fillId="2" borderId="1" xfId="0" applyFill="1" applyBorder="1" applyAlignment="1">
      <alignment horizontal="center"/>
    </xf>
    <xf numFmtId="164" fontId="3" fillId="2" borderId="0" xfId="0" applyNumberFormat="1" applyFont="1" applyFill="1"/>
    <xf numFmtId="0" fontId="3" fillId="2" borderId="0" xfId="0" applyFont="1" applyFill="1"/>
    <xf numFmtId="164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left"/>
    </xf>
    <xf numFmtId="2" fontId="0" fillId="2" borderId="0" xfId="0" applyNumberFormat="1" applyFill="1"/>
    <xf numFmtId="2" fontId="0" fillId="0" borderId="0" xfId="0" applyNumberFormat="1"/>
    <xf numFmtId="9" fontId="0" fillId="0" borderId="0" xfId="1" applyFo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164" fontId="0" fillId="0" borderId="1" xfId="0" applyNumberFormat="1" applyFill="1" applyBorder="1"/>
    <xf numFmtId="164" fontId="3" fillId="0" borderId="0" xfId="0" applyNumberFormat="1" applyFont="1" applyFill="1"/>
    <xf numFmtId="9" fontId="0" fillId="0" borderId="0" xfId="1" applyFont="1" applyAlignment="1">
      <alignment horizontal="center"/>
    </xf>
    <xf numFmtId="2" fontId="0" fillId="0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0" borderId="0" xfId="0" applyFill="1" applyAlignment="1">
      <alignment horizontal="left"/>
    </xf>
    <xf numFmtId="0" fontId="1" fillId="0" borderId="0" xfId="0" applyFont="1" applyFill="1"/>
    <xf numFmtId="0" fontId="4" fillId="4" borderId="0" xfId="0" applyFont="1" applyFill="1"/>
    <xf numFmtId="164" fontId="4" fillId="4" borderId="0" xfId="0" applyNumberFormat="1" applyFont="1" applyFill="1"/>
    <xf numFmtId="0" fontId="0" fillId="2" borderId="0" xfId="0" applyFont="1" applyFill="1"/>
    <xf numFmtId="0" fontId="6" fillId="2" borderId="0" xfId="0" applyFont="1" applyFill="1"/>
    <xf numFmtId="165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1" applyNumberFormat="1" applyFont="1"/>
    <xf numFmtId="166" fontId="0" fillId="0" borderId="0" xfId="1" applyNumberFormat="1" applyFont="1"/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1" xfId="0" applyFont="1" applyBorder="1"/>
    <xf numFmtId="0" fontId="0" fillId="0" borderId="0" xfId="0" applyAlignment="1">
      <alignment horizontal="left" vertical="center" indent="1"/>
    </xf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06.07.2018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'P-available'!$L$163:$L$169</c:f>
              <c:numCache>
                <c:formatCode>0.000</c:formatCode>
                <c:ptCount val="7"/>
                <c:pt idx="0">
                  <c:v>1.4999999999999999E-2</c:v>
                </c:pt>
                <c:pt idx="1">
                  <c:v>9.2999999999999999E-2</c:v>
                </c:pt>
                <c:pt idx="2">
                  <c:v>0.187</c:v>
                </c:pt>
                <c:pt idx="3">
                  <c:v>0.35299999999999998</c:v>
                </c:pt>
                <c:pt idx="4">
                  <c:v>0.50700000000000001</c:v>
                </c:pt>
                <c:pt idx="5">
                  <c:v>0.69699999999999995</c:v>
                </c:pt>
                <c:pt idx="6">
                  <c:v>0.871</c:v>
                </c:pt>
              </c:numCache>
            </c:numRef>
          </c:xVal>
          <c:yVal>
            <c:numRef>
              <c:f>'P-available'!$K$163:$K$169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07-4476-A020-1385C77CF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291200"/>
        <c:axId val="64292736"/>
      </c:scatterChart>
      <c:valAx>
        <c:axId val="6429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292736"/>
        <c:crosses val="autoZero"/>
        <c:crossBetween val="midCat"/>
      </c:valAx>
      <c:valAx>
        <c:axId val="642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291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06.07.2018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'P-available'!$J$189:$J$195</c:f>
              <c:numCache>
                <c:formatCode>0.000</c:formatCode>
                <c:ptCount val="7"/>
                <c:pt idx="0">
                  <c:v>7.0000000000000001E-3</c:v>
                </c:pt>
                <c:pt idx="1">
                  <c:v>8.3000000000000004E-2</c:v>
                </c:pt>
                <c:pt idx="2">
                  <c:v>0.17199999999999999</c:v>
                </c:pt>
                <c:pt idx="3">
                  <c:v>0.33200000000000002</c:v>
                </c:pt>
                <c:pt idx="4">
                  <c:v>0.48299999999999998</c:v>
                </c:pt>
                <c:pt idx="5">
                  <c:v>0.64600000000000002</c:v>
                </c:pt>
                <c:pt idx="6">
                  <c:v>0.80400000000000005</c:v>
                </c:pt>
              </c:numCache>
            </c:numRef>
          </c:xVal>
          <c:yVal>
            <c:numRef>
              <c:f>'P-available'!$I$189:$I$195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CF-4C0F-A9A3-07EE7692F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42656"/>
        <c:axId val="64348544"/>
      </c:scatterChart>
      <c:valAx>
        <c:axId val="64342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348544"/>
        <c:crosses val="autoZero"/>
        <c:crossBetween val="midCat"/>
      </c:valAx>
      <c:valAx>
        <c:axId val="6434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4342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SD 06.07.2018</a:t>
            </a:r>
          </a:p>
        </c:rich>
      </c:tx>
      <c:layout>
        <c:manualLayout>
          <c:xMode val="edge"/>
          <c:yMode val="edge"/>
          <c:x val="0.24066229372532927"/>
          <c:y val="4.037856226883007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'P-available'!$J$163:$J$169</c:f>
              <c:numCache>
                <c:formatCode>General</c:formatCode>
                <c:ptCount val="7"/>
                <c:pt idx="0">
                  <c:v>1.6E-2</c:v>
                </c:pt>
                <c:pt idx="1">
                  <c:v>9.9000000000000005E-2</c:v>
                </c:pt>
                <c:pt idx="2" formatCode="0.000">
                  <c:v>0.20300000000000001</c:v>
                </c:pt>
                <c:pt idx="3" formatCode="0.000">
                  <c:v>0.35399999999999998</c:v>
                </c:pt>
                <c:pt idx="4" formatCode="0.000">
                  <c:v>0.501</c:v>
                </c:pt>
                <c:pt idx="5" formatCode="0.000">
                  <c:v>0.69399999999999995</c:v>
                </c:pt>
                <c:pt idx="6" formatCode="0.000">
                  <c:v>0.81299999999999994</c:v>
                </c:pt>
              </c:numCache>
            </c:numRef>
          </c:xVal>
          <c:yVal>
            <c:numRef>
              <c:f>'P-available'!$I$163:$I$169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6-49F6-A55B-66B564388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37440"/>
        <c:axId val="65038976"/>
      </c:scatterChart>
      <c:valAx>
        <c:axId val="650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038976"/>
        <c:crosses val="autoZero"/>
        <c:crossBetween val="midCat"/>
      </c:valAx>
      <c:valAx>
        <c:axId val="6503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03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04.07.2018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'P-available'!$J$141:$J$147</c:f>
              <c:numCache>
                <c:formatCode>0.000</c:formatCode>
                <c:ptCount val="7"/>
                <c:pt idx="0">
                  <c:v>6.0000000000000001E-3</c:v>
                </c:pt>
                <c:pt idx="1">
                  <c:v>8.8999999999999996E-2</c:v>
                </c:pt>
                <c:pt idx="2">
                  <c:v>0.17699999999999999</c:v>
                </c:pt>
                <c:pt idx="3">
                  <c:v>0.34300000000000003</c:v>
                </c:pt>
                <c:pt idx="4">
                  <c:v>0.48199999999999998</c:v>
                </c:pt>
                <c:pt idx="5">
                  <c:v>0.61799999999999999</c:v>
                </c:pt>
                <c:pt idx="6">
                  <c:v>0.77100000000000002</c:v>
                </c:pt>
              </c:numCache>
            </c:numRef>
          </c:xVal>
          <c:yVal>
            <c:numRef>
              <c:f>'P-available'!$I$141:$I$147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14-4F2E-80BB-A29600B14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076608"/>
        <c:axId val="65631360"/>
      </c:scatterChart>
      <c:valAx>
        <c:axId val="6507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631360"/>
        <c:crosses val="autoZero"/>
        <c:crossBetween val="midCat"/>
      </c:valAx>
      <c:valAx>
        <c:axId val="6563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07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04.07.2018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'P-available'!$J$108:$J$114</c:f>
              <c:numCache>
                <c:formatCode>0.000</c:formatCode>
                <c:ptCount val="7"/>
                <c:pt idx="0">
                  <c:v>4.0000000000000001E-3</c:v>
                </c:pt>
                <c:pt idx="1">
                  <c:v>7.8E-2</c:v>
                </c:pt>
                <c:pt idx="2">
                  <c:v>0.16</c:v>
                </c:pt>
                <c:pt idx="3">
                  <c:v>0.32300000000000001</c:v>
                </c:pt>
                <c:pt idx="4">
                  <c:v>0.45800000000000002</c:v>
                </c:pt>
                <c:pt idx="5">
                  <c:v>0.61699999999999999</c:v>
                </c:pt>
                <c:pt idx="6">
                  <c:v>0.79800000000000004</c:v>
                </c:pt>
              </c:numCache>
            </c:numRef>
          </c:xVal>
          <c:yVal>
            <c:numRef>
              <c:f>'P-available'!$I$108:$I$114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F5-40AF-8B4F-685E428CD5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60800"/>
        <c:axId val="65662336"/>
      </c:scatterChart>
      <c:valAx>
        <c:axId val="6566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662336"/>
        <c:crosses val="autoZero"/>
        <c:crossBetween val="midCat"/>
      </c:valAx>
      <c:valAx>
        <c:axId val="6566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66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04.07.2018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'P-available'!$L$108:$L$114</c:f>
              <c:numCache>
                <c:formatCode>0.000</c:formatCode>
                <c:ptCount val="7"/>
                <c:pt idx="0">
                  <c:v>6.0000000000000001E-3</c:v>
                </c:pt>
                <c:pt idx="1">
                  <c:v>7.9000000000000001E-2</c:v>
                </c:pt>
                <c:pt idx="2">
                  <c:v>0.16</c:v>
                </c:pt>
                <c:pt idx="3">
                  <c:v>0.314</c:v>
                </c:pt>
                <c:pt idx="4">
                  <c:v>0.47</c:v>
                </c:pt>
                <c:pt idx="5">
                  <c:v>0.60799999999999998</c:v>
                </c:pt>
                <c:pt idx="6">
                  <c:v>0.80500000000000005</c:v>
                </c:pt>
              </c:numCache>
            </c:numRef>
          </c:xVal>
          <c:yVal>
            <c:numRef>
              <c:f>'P-available'!$K$108:$K$114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27-44BB-AFBE-32C8DE0E3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585536"/>
        <c:axId val="65587072"/>
      </c:scatterChart>
      <c:valAx>
        <c:axId val="65585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587072"/>
        <c:crosses val="autoZero"/>
        <c:crossBetween val="midCat"/>
      </c:valAx>
      <c:valAx>
        <c:axId val="6558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585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SD 03.07.2018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'P-available'!$J$81:$J$87</c:f>
              <c:numCache>
                <c:formatCode>0.000</c:formatCode>
                <c:ptCount val="7"/>
                <c:pt idx="0">
                  <c:v>6.0000000000000001E-3</c:v>
                </c:pt>
                <c:pt idx="1">
                  <c:v>7.5999999999999998E-2</c:v>
                </c:pt>
                <c:pt idx="2">
                  <c:v>0.155</c:v>
                </c:pt>
                <c:pt idx="3">
                  <c:v>0.32600000000000001</c:v>
                </c:pt>
                <c:pt idx="4">
                  <c:v>0.46300000000000002</c:v>
                </c:pt>
                <c:pt idx="5">
                  <c:v>0.59799999999999998</c:v>
                </c:pt>
                <c:pt idx="6">
                  <c:v>0.76</c:v>
                </c:pt>
              </c:numCache>
            </c:numRef>
          </c:xVal>
          <c:yVal>
            <c:numRef>
              <c:f>'P-available'!$I$81:$I$87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E-4820-A50D-00622F69D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0240"/>
        <c:axId val="65716608"/>
      </c:scatterChart>
      <c:valAx>
        <c:axId val="6569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716608"/>
        <c:crosses val="autoZero"/>
        <c:crossBetween val="midCat"/>
      </c:valAx>
      <c:valAx>
        <c:axId val="6571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690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03.07.2018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'P-available'!$L$81:$L$87</c:f>
              <c:numCache>
                <c:formatCode>0.000</c:formatCode>
                <c:ptCount val="7"/>
                <c:pt idx="0">
                  <c:v>6.0000000000000001E-3</c:v>
                </c:pt>
                <c:pt idx="1">
                  <c:v>7.6999999999999999E-2</c:v>
                </c:pt>
                <c:pt idx="2">
                  <c:v>0.153</c:v>
                </c:pt>
                <c:pt idx="3">
                  <c:v>0.314</c:v>
                </c:pt>
                <c:pt idx="4">
                  <c:v>0.46600000000000003</c:v>
                </c:pt>
                <c:pt idx="5">
                  <c:v>0.60199999999999998</c:v>
                </c:pt>
                <c:pt idx="6">
                  <c:v>0.746</c:v>
                </c:pt>
              </c:numCache>
            </c:numRef>
          </c:xVal>
          <c:yVal>
            <c:numRef>
              <c:f>'P-available'!$K$81:$K$87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CB-4EDC-9B38-8927F3916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03712"/>
        <c:axId val="66005248"/>
      </c:scatterChart>
      <c:valAx>
        <c:axId val="6600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005248"/>
        <c:crosses val="autoZero"/>
        <c:crossBetween val="midCat"/>
      </c:valAx>
      <c:valAx>
        <c:axId val="660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00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04.07.2018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'P-available'!$M$81:$M$87</c:f>
              <c:numCache>
                <c:formatCode>General</c:formatCode>
                <c:ptCount val="7"/>
                <c:pt idx="0">
                  <c:v>8.9999999999999993E-3</c:v>
                </c:pt>
                <c:pt idx="1">
                  <c:v>8.8999999999999996E-2</c:v>
                </c:pt>
                <c:pt idx="2">
                  <c:v>0.19500000000000001</c:v>
                </c:pt>
                <c:pt idx="3">
                  <c:v>0.44</c:v>
                </c:pt>
                <c:pt idx="4">
                  <c:v>0.57199999999999995</c:v>
                </c:pt>
                <c:pt idx="5">
                  <c:v>0.65600000000000003</c:v>
                </c:pt>
                <c:pt idx="6">
                  <c:v>0.88400000000000001</c:v>
                </c:pt>
              </c:numCache>
            </c:numRef>
          </c:xVal>
          <c:yVal>
            <c:numRef>
              <c:f>'P-available'!$K$81:$K$87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0-43DE-BC81-8A663EB5F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55168"/>
        <c:axId val="66069248"/>
      </c:scatterChart>
      <c:valAx>
        <c:axId val="6605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069248"/>
        <c:crosses val="autoZero"/>
        <c:crossBetween val="midCat"/>
      </c:valAx>
      <c:valAx>
        <c:axId val="6606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055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03.07.2018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'P-available'!$K$56:$K$62</c:f>
              <c:numCache>
                <c:formatCode>General</c:formatCode>
                <c:ptCount val="7"/>
                <c:pt idx="0">
                  <c:v>1.2999999999999999E-2</c:v>
                </c:pt>
                <c:pt idx="1">
                  <c:v>9.4E-2</c:v>
                </c:pt>
                <c:pt idx="2">
                  <c:v>0.183</c:v>
                </c:pt>
                <c:pt idx="3">
                  <c:v>0.371</c:v>
                </c:pt>
                <c:pt idx="4">
                  <c:v>0.503</c:v>
                </c:pt>
                <c:pt idx="5">
                  <c:v>0.67100000000000004</c:v>
                </c:pt>
                <c:pt idx="6" formatCode="0.000">
                  <c:v>0.81</c:v>
                </c:pt>
              </c:numCache>
            </c:numRef>
          </c:xVal>
          <c:yVal>
            <c:numRef>
              <c:f>'P-available'!$J$56:$J$62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3F-453C-B45B-8909AFC8D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110976"/>
        <c:axId val="66112512"/>
      </c:scatterChart>
      <c:valAx>
        <c:axId val="6611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112512"/>
        <c:crosses val="autoZero"/>
        <c:crossBetween val="midCat"/>
      </c:valAx>
      <c:valAx>
        <c:axId val="661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11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15.06.2018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'P-available'!$J$27:$J$33</c:f>
              <c:numCache>
                <c:formatCode>General</c:formatCode>
                <c:ptCount val="7"/>
                <c:pt idx="0">
                  <c:v>2E-3</c:v>
                </c:pt>
                <c:pt idx="1">
                  <c:v>7.1999999999999995E-2</c:v>
                </c:pt>
                <c:pt idx="2">
                  <c:v>0.14399999999999999</c:v>
                </c:pt>
                <c:pt idx="3" formatCode="0.000">
                  <c:v>0.3</c:v>
                </c:pt>
                <c:pt idx="4">
                  <c:v>0.433</c:v>
                </c:pt>
                <c:pt idx="5">
                  <c:v>0.56799999999999995</c:v>
                </c:pt>
                <c:pt idx="6">
                  <c:v>0.72799999999999998</c:v>
                </c:pt>
              </c:numCache>
            </c:numRef>
          </c:xVal>
          <c:yVal>
            <c:numRef>
              <c:f>'P-available'!$I$27:$I$33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28-4DAF-8456-2B9908A9A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2176"/>
        <c:axId val="66483712"/>
      </c:scatterChart>
      <c:valAx>
        <c:axId val="6648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483712"/>
        <c:crosses val="autoZero"/>
        <c:crossBetween val="midCat"/>
      </c:valAx>
      <c:valAx>
        <c:axId val="664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48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10.07.2018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'P-available'!$J$217:$J$223</c:f>
              <c:numCache>
                <c:formatCode>0.000</c:formatCode>
                <c:ptCount val="7"/>
                <c:pt idx="0">
                  <c:v>5.0000000000000001E-3</c:v>
                </c:pt>
                <c:pt idx="1">
                  <c:v>9.2999999999999999E-2</c:v>
                </c:pt>
                <c:pt idx="2">
                  <c:v>0.17799999999999999</c:v>
                </c:pt>
                <c:pt idx="3">
                  <c:v>0.33900000000000002</c:v>
                </c:pt>
                <c:pt idx="4">
                  <c:v>0.51</c:v>
                </c:pt>
                <c:pt idx="5">
                  <c:v>0.65800000000000003</c:v>
                </c:pt>
                <c:pt idx="6">
                  <c:v>0.79700000000000004</c:v>
                </c:pt>
              </c:numCache>
            </c:numRef>
          </c:xVal>
          <c:yVal>
            <c:numRef>
              <c:f>'P-available'!$I$217:$I$223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2-486D-A436-9E7D6C2BDF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06656"/>
        <c:axId val="66416640"/>
      </c:scatterChart>
      <c:valAx>
        <c:axId val="6640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416640"/>
        <c:crosses val="autoZero"/>
        <c:crossBetween val="midCat"/>
      </c:valAx>
      <c:valAx>
        <c:axId val="664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40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24.07.2018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'P-available'!$J$248:$J$254</c:f>
              <c:numCache>
                <c:formatCode>0.000</c:formatCode>
                <c:ptCount val="7"/>
                <c:pt idx="0">
                  <c:v>6.0000000000000001E-3</c:v>
                </c:pt>
                <c:pt idx="1">
                  <c:v>9.7000000000000003E-2</c:v>
                </c:pt>
                <c:pt idx="2">
                  <c:v>0.17399999999999999</c:v>
                </c:pt>
                <c:pt idx="3">
                  <c:v>0.33</c:v>
                </c:pt>
                <c:pt idx="4">
                  <c:v>0.48399999999999999</c:v>
                </c:pt>
                <c:pt idx="5">
                  <c:v>0.63900000000000001</c:v>
                </c:pt>
                <c:pt idx="6">
                  <c:v>0.79</c:v>
                </c:pt>
              </c:numCache>
            </c:numRef>
          </c:xVal>
          <c:yVal>
            <c:numRef>
              <c:f>'P-available'!$I$248:$I$254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C-4D4A-ADF0-F00F2DD59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81952"/>
        <c:axId val="66783488"/>
      </c:scatterChart>
      <c:valAx>
        <c:axId val="6678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783488"/>
        <c:crosses val="autoZero"/>
        <c:crossBetween val="midCat"/>
      </c:valAx>
      <c:valAx>
        <c:axId val="66783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78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SD 24.07.2018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'P-available'!$H$248:$H$254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8.7999999999999995E-2</c:v>
                </c:pt>
                <c:pt idx="2" formatCode="0.000">
                  <c:v>0.17699999999999999</c:v>
                </c:pt>
                <c:pt idx="3" formatCode="0.000">
                  <c:v>0.33500000000000002</c:v>
                </c:pt>
                <c:pt idx="4" formatCode="0.000">
                  <c:v>0.49</c:v>
                </c:pt>
                <c:pt idx="5" formatCode="0.000">
                  <c:v>0.626</c:v>
                </c:pt>
                <c:pt idx="6" formatCode="0.000">
                  <c:v>0.79300000000000004</c:v>
                </c:pt>
              </c:numCache>
            </c:numRef>
          </c:xVal>
          <c:yVal>
            <c:numRef>
              <c:f>'P-available'!$G$248:$G$254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A-4993-A869-5CCA4121A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7504"/>
        <c:axId val="66839296"/>
      </c:scatterChart>
      <c:valAx>
        <c:axId val="66837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839296"/>
        <c:crosses val="autoZero"/>
        <c:crossBetween val="midCat"/>
      </c:valAx>
      <c:valAx>
        <c:axId val="6683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837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23.07.2018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'P-available'!$J$270:$J$276</c:f>
              <c:numCache>
                <c:formatCode>0.000</c:formatCode>
                <c:ptCount val="7"/>
                <c:pt idx="0">
                  <c:v>6.0000000000000001E-3</c:v>
                </c:pt>
                <c:pt idx="1">
                  <c:v>0.09</c:v>
                </c:pt>
                <c:pt idx="2">
                  <c:v>0.18</c:v>
                </c:pt>
                <c:pt idx="3">
                  <c:v>0.36599999999999999</c:v>
                </c:pt>
                <c:pt idx="4">
                  <c:v>0.48699999999999999</c:v>
                </c:pt>
                <c:pt idx="5">
                  <c:v>0.67100000000000004</c:v>
                </c:pt>
                <c:pt idx="6">
                  <c:v>0.79100000000000004</c:v>
                </c:pt>
              </c:numCache>
            </c:numRef>
          </c:xVal>
          <c:yVal>
            <c:numRef>
              <c:f>'P-available'!$I$270:$I$276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A7-4FED-90CE-CB151DDA6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72832"/>
        <c:axId val="66874368"/>
      </c:scatterChart>
      <c:valAx>
        <c:axId val="6687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874368"/>
        <c:crosses val="autoZero"/>
        <c:crossBetween val="midCat"/>
      </c:valAx>
      <c:valAx>
        <c:axId val="6687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87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31.07.2018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'P-available'!$J$299:$J$305</c:f>
              <c:numCache>
                <c:formatCode>0.000</c:formatCode>
                <c:ptCount val="7"/>
                <c:pt idx="0">
                  <c:v>5.0000000000000001E-3</c:v>
                </c:pt>
                <c:pt idx="1">
                  <c:v>8.5000000000000006E-2</c:v>
                </c:pt>
                <c:pt idx="2">
                  <c:v>0.17199999999999999</c:v>
                </c:pt>
                <c:pt idx="3">
                  <c:v>0.34300000000000003</c:v>
                </c:pt>
                <c:pt idx="4">
                  <c:v>0.499</c:v>
                </c:pt>
                <c:pt idx="5">
                  <c:v>0.66300000000000003</c:v>
                </c:pt>
                <c:pt idx="6">
                  <c:v>0.84</c:v>
                </c:pt>
              </c:numCache>
            </c:numRef>
          </c:xVal>
          <c:yVal>
            <c:numRef>
              <c:f>'P-available'!$I$299:$I$305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D5-45A3-AF8B-CF917526D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52224"/>
        <c:axId val="67253760"/>
      </c:scatterChart>
      <c:valAx>
        <c:axId val="6725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253760"/>
        <c:crosses val="autoZero"/>
        <c:crossBetween val="midCat"/>
      </c:valAx>
      <c:valAx>
        <c:axId val="6725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25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14.08.2018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'P-available'!$J$325:$J$331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8.1000000000000003E-2</c:v>
                </c:pt>
                <c:pt idx="2">
                  <c:v>0.16200000000000001</c:v>
                </c:pt>
                <c:pt idx="3">
                  <c:v>0.32200000000000001</c:v>
                </c:pt>
                <c:pt idx="4">
                  <c:v>0.48</c:v>
                </c:pt>
                <c:pt idx="5">
                  <c:v>0.626</c:v>
                </c:pt>
                <c:pt idx="6" formatCode="0.000">
                  <c:v>0.76200000000000001</c:v>
                </c:pt>
              </c:numCache>
            </c:numRef>
          </c:xVal>
          <c:yVal>
            <c:numRef>
              <c:f>'P-available'!$I$325:$I$331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75-4CE0-8F82-B1709F6B0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303680"/>
        <c:axId val="66920448"/>
      </c:scatterChart>
      <c:valAx>
        <c:axId val="6730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20448"/>
        <c:crosses val="autoZero"/>
        <c:crossBetween val="midCat"/>
      </c:valAx>
      <c:valAx>
        <c:axId val="6692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730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SD 14.08.2018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4941079662339508"/>
                  <c:y val="-3.3660939078561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'P-available'!$L$325:$L$331</c:f>
              <c:numCache>
                <c:formatCode>General</c:formatCode>
                <c:ptCount val="7"/>
                <c:pt idx="0">
                  <c:v>6.0000000000000001E-3</c:v>
                </c:pt>
                <c:pt idx="1">
                  <c:v>8.3000000000000004E-2</c:v>
                </c:pt>
                <c:pt idx="2">
                  <c:v>0.16300000000000001</c:v>
                </c:pt>
                <c:pt idx="3">
                  <c:v>0.32400000000000001</c:v>
                </c:pt>
                <c:pt idx="4">
                  <c:v>0.48799999999999999</c:v>
                </c:pt>
                <c:pt idx="5">
                  <c:v>0.61799999999999999</c:v>
                </c:pt>
                <c:pt idx="6" formatCode="0.000">
                  <c:v>0.77400000000000002</c:v>
                </c:pt>
              </c:numCache>
            </c:numRef>
          </c:xVal>
          <c:yVal>
            <c:numRef>
              <c:f>'P-available'!$K$325:$K$331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8D-4C52-9E04-3D7E1241D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970368"/>
        <c:axId val="66971904"/>
      </c:scatterChart>
      <c:valAx>
        <c:axId val="6697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71904"/>
        <c:crosses val="autoZero"/>
        <c:crossBetween val="midCat"/>
      </c:valAx>
      <c:valAx>
        <c:axId val="6697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697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SD 25.06.2018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bound'!$H$34:$H$40</c:f>
              <c:numCache>
                <c:formatCode>General</c:formatCode>
                <c:ptCount val="7"/>
                <c:pt idx="0">
                  <c:v>2E-3</c:v>
                </c:pt>
                <c:pt idx="1">
                  <c:v>7.1999999999999995E-2</c:v>
                </c:pt>
                <c:pt idx="2">
                  <c:v>0.14899999999999999</c:v>
                </c:pt>
                <c:pt idx="3">
                  <c:v>0.29099999999999998</c:v>
                </c:pt>
                <c:pt idx="4">
                  <c:v>0.42199999999999999</c:v>
                </c:pt>
                <c:pt idx="5">
                  <c:v>0.57299999999999995</c:v>
                </c:pt>
                <c:pt idx="6">
                  <c:v>0.73299999999999998</c:v>
                </c:pt>
              </c:numCache>
            </c:numRef>
          </c:xVal>
          <c:yVal>
            <c:numRef>
              <c:f>'P-Ca bound'!$G$34:$G$40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2E-4D6B-AC49-212B4A738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27104"/>
        <c:axId val="78128256"/>
      </c:scatterChart>
      <c:valAx>
        <c:axId val="7812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128256"/>
        <c:crosses val="autoZero"/>
        <c:crossBetween val="midCat"/>
      </c:valAx>
      <c:valAx>
        <c:axId val="7812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12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20.06.2018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62293797521991"/>
                  <c:y val="-1.27494605868123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bound'!$I$8:$I$14</c:f>
              <c:numCache>
                <c:formatCode>General</c:formatCode>
                <c:ptCount val="7"/>
                <c:pt idx="0">
                  <c:v>3.0000000000000001E-3</c:v>
                </c:pt>
                <c:pt idx="1">
                  <c:v>7.0999999999999994E-2</c:v>
                </c:pt>
                <c:pt idx="2">
                  <c:v>0.14899999999999999</c:v>
                </c:pt>
                <c:pt idx="3">
                  <c:v>0.30099999999999999</c:v>
                </c:pt>
                <c:pt idx="4">
                  <c:v>0.45200000000000001</c:v>
                </c:pt>
                <c:pt idx="5">
                  <c:v>0.58499999999999996</c:v>
                </c:pt>
                <c:pt idx="6">
                  <c:v>0.74299999999999999</c:v>
                </c:pt>
              </c:numCache>
            </c:numRef>
          </c:xVal>
          <c:yVal>
            <c:numRef>
              <c:f>'P-Ca bound'!$G$8:$G$14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A0-4080-941A-089CEBE7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61792"/>
        <c:axId val="78163328"/>
      </c:scatterChart>
      <c:valAx>
        <c:axId val="7816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163328"/>
        <c:crosses val="autoZero"/>
        <c:crossBetween val="midCat"/>
      </c:valAx>
      <c:valAx>
        <c:axId val="781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161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old SD 20.06.2018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5462293797521991"/>
                  <c:y val="-1.27494605868123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bound'!$H$8:$H$14</c:f>
              <c:numCache>
                <c:formatCode>General</c:formatCode>
                <c:ptCount val="7"/>
                <c:pt idx="0">
                  <c:v>1E-3</c:v>
                </c:pt>
                <c:pt idx="1">
                  <c:v>7.0999999999999994E-2</c:v>
                </c:pt>
                <c:pt idx="2">
                  <c:v>0.14499999999999999</c:v>
                </c:pt>
                <c:pt idx="3">
                  <c:v>0.30099999999999999</c:v>
                </c:pt>
                <c:pt idx="4">
                  <c:v>0.44</c:v>
                </c:pt>
                <c:pt idx="5">
                  <c:v>0.58099999999999996</c:v>
                </c:pt>
                <c:pt idx="6">
                  <c:v>0.72799999999999998</c:v>
                </c:pt>
              </c:numCache>
            </c:numRef>
          </c:xVal>
          <c:yVal>
            <c:numRef>
              <c:f>'P-Ca bound'!$G$8:$G$14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07-4A02-AF22-D2388CC64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52768"/>
        <c:axId val="78354304"/>
      </c:scatterChart>
      <c:valAx>
        <c:axId val="7835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354304"/>
        <c:crosses val="autoZero"/>
        <c:crossBetween val="midCat"/>
      </c:valAx>
      <c:valAx>
        <c:axId val="7835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35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25.06.2018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bound'!$J$34:$J$40</c:f>
              <c:numCache>
                <c:formatCode>General</c:formatCode>
                <c:ptCount val="7"/>
                <c:pt idx="0">
                  <c:v>2E-3</c:v>
                </c:pt>
                <c:pt idx="1">
                  <c:v>6.9000000000000006E-2</c:v>
                </c:pt>
                <c:pt idx="2">
                  <c:v>0.14699999999999999</c:v>
                </c:pt>
                <c:pt idx="3">
                  <c:v>0.29399999999999998</c:v>
                </c:pt>
                <c:pt idx="4">
                  <c:v>0.432</c:v>
                </c:pt>
                <c:pt idx="5">
                  <c:v>0.59</c:v>
                </c:pt>
                <c:pt idx="6">
                  <c:v>0.73399999999999999</c:v>
                </c:pt>
              </c:numCache>
            </c:numRef>
          </c:xVal>
          <c:yVal>
            <c:numRef>
              <c:f>'P-Ca bound'!$I$34:$I$40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F1-4A46-A9DA-5A3E80ED7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00128"/>
        <c:axId val="78406016"/>
      </c:scatterChart>
      <c:valAx>
        <c:axId val="7840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406016"/>
        <c:crosses val="autoZero"/>
        <c:crossBetween val="midCat"/>
      </c:valAx>
      <c:valAx>
        <c:axId val="7840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40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09.07.2018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bound'!$J$61:$J$67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7.0000000000000007E-2</c:v>
                </c:pt>
                <c:pt idx="2">
                  <c:v>0.14099999999999999</c:v>
                </c:pt>
                <c:pt idx="3">
                  <c:v>0.28499999999999998</c:v>
                </c:pt>
                <c:pt idx="4">
                  <c:v>0.42199999999999999</c:v>
                </c:pt>
                <c:pt idx="5">
                  <c:v>0.57199999999999995</c:v>
                </c:pt>
                <c:pt idx="6">
                  <c:v>0.69699999999999995</c:v>
                </c:pt>
              </c:numCache>
            </c:numRef>
          </c:xVal>
          <c:yVal>
            <c:numRef>
              <c:f>'P-Ca bound'!$I$61:$I$67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67-47AE-A64E-8E238D47A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43648"/>
        <c:axId val="78445184"/>
      </c:scatterChart>
      <c:valAx>
        <c:axId val="7844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445184"/>
        <c:crosses val="autoZero"/>
        <c:crossBetween val="midCat"/>
      </c:valAx>
      <c:valAx>
        <c:axId val="7844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443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09.07.2018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bound'!$J$90:$J$96</c:f>
              <c:numCache>
                <c:formatCode>General</c:formatCode>
                <c:ptCount val="7"/>
                <c:pt idx="0">
                  <c:v>3.0000000000000001E-3</c:v>
                </c:pt>
                <c:pt idx="1">
                  <c:v>6.9000000000000006E-2</c:v>
                </c:pt>
                <c:pt idx="2">
                  <c:v>0.14099999999999999</c:v>
                </c:pt>
                <c:pt idx="3">
                  <c:v>0.29499999999999998</c:v>
                </c:pt>
                <c:pt idx="4">
                  <c:v>0.42499999999999999</c:v>
                </c:pt>
                <c:pt idx="5">
                  <c:v>0.55300000000000005</c:v>
                </c:pt>
                <c:pt idx="6">
                  <c:v>0.71599999999999997</c:v>
                </c:pt>
              </c:numCache>
            </c:numRef>
          </c:xVal>
          <c:yVal>
            <c:numRef>
              <c:f>'P-Ca bound'!$I$90:$I$96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2-4604-922C-F56073493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78016"/>
        <c:axId val="78308480"/>
      </c:scatterChart>
      <c:valAx>
        <c:axId val="7827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308480"/>
        <c:crosses val="autoZero"/>
        <c:crossBetween val="midCat"/>
      </c:valAx>
      <c:valAx>
        <c:axId val="783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27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11.07.2018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bound'!$J$117:$J$123</c:f>
              <c:numCache>
                <c:formatCode>General</c:formatCode>
                <c:ptCount val="7"/>
                <c:pt idx="0">
                  <c:v>3.0000000000000001E-3</c:v>
                </c:pt>
                <c:pt idx="1">
                  <c:v>7.1999999999999995E-2</c:v>
                </c:pt>
                <c:pt idx="2">
                  <c:v>0.14399999999999999</c:v>
                </c:pt>
                <c:pt idx="3">
                  <c:v>0.30499999999999999</c:v>
                </c:pt>
                <c:pt idx="4">
                  <c:v>0.42399999999999999</c:v>
                </c:pt>
                <c:pt idx="5">
                  <c:v>0.58099999999999996</c:v>
                </c:pt>
                <c:pt idx="6">
                  <c:v>0.71699999999999997</c:v>
                </c:pt>
              </c:numCache>
            </c:numRef>
          </c:xVal>
          <c:yVal>
            <c:numRef>
              <c:f>'P-Ca bound'!$I$117:$I$123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4A-4D96-8A1D-0B1744DD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34528"/>
        <c:axId val="78536064"/>
      </c:scatterChart>
      <c:valAx>
        <c:axId val="7853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536064"/>
        <c:crosses val="autoZero"/>
        <c:crossBetween val="midCat"/>
      </c:valAx>
      <c:valAx>
        <c:axId val="7853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53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12.07.2018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bound'!$J$148:$J$154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7.0999999999999994E-2</c:v>
                </c:pt>
                <c:pt idx="2">
                  <c:v>0.14499999999999999</c:v>
                </c:pt>
                <c:pt idx="3">
                  <c:v>0.28999999999999998</c:v>
                </c:pt>
                <c:pt idx="4">
                  <c:v>0.43099999999999999</c:v>
                </c:pt>
                <c:pt idx="5">
                  <c:v>0.56299999999999994</c:v>
                </c:pt>
                <c:pt idx="6">
                  <c:v>0.70899999999999996</c:v>
                </c:pt>
              </c:numCache>
            </c:numRef>
          </c:xVal>
          <c:yVal>
            <c:numRef>
              <c:f>'P-Ca bound'!$I$148:$I$154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1-4618-91DE-46227D6A3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451456"/>
        <c:axId val="78452608"/>
      </c:scatterChart>
      <c:valAx>
        <c:axId val="7845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452608"/>
        <c:crosses val="autoZero"/>
        <c:crossBetween val="midCat"/>
      </c:valAx>
      <c:valAx>
        <c:axId val="7845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45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13.07.2018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bound'!$J$173:$J$179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7.0999999999999994E-2</c:v>
                </c:pt>
                <c:pt idx="2">
                  <c:v>0.14699999999999999</c:v>
                </c:pt>
                <c:pt idx="3">
                  <c:v>0.28299999999999997</c:v>
                </c:pt>
                <c:pt idx="4">
                  <c:v>0.41499999999999998</c:v>
                </c:pt>
                <c:pt idx="5">
                  <c:v>0.58299999999999996</c:v>
                </c:pt>
                <c:pt idx="6">
                  <c:v>0.71699999999999997</c:v>
                </c:pt>
              </c:numCache>
            </c:numRef>
          </c:xVal>
          <c:yVal>
            <c:numRef>
              <c:f>'P-Ca bound'!$I$173:$I$179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EB-46CD-ABEB-94CFE546B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02528"/>
        <c:axId val="78860672"/>
      </c:scatterChart>
      <c:valAx>
        <c:axId val="7850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860672"/>
        <c:crosses val="autoZero"/>
        <c:crossBetween val="midCat"/>
      </c:valAx>
      <c:valAx>
        <c:axId val="788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50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16.07.2018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bound'!$J$201:$J$207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7.1999999999999995E-2</c:v>
                </c:pt>
                <c:pt idx="2">
                  <c:v>0.14699999999999999</c:v>
                </c:pt>
                <c:pt idx="3">
                  <c:v>0.28299999999999997</c:v>
                </c:pt>
                <c:pt idx="4">
                  <c:v>0.42099999999999999</c:v>
                </c:pt>
                <c:pt idx="5">
                  <c:v>0.55300000000000005</c:v>
                </c:pt>
                <c:pt idx="6">
                  <c:v>0.69399999999999995</c:v>
                </c:pt>
              </c:numCache>
            </c:numRef>
          </c:xVal>
          <c:yVal>
            <c:numRef>
              <c:f>'P-Ca bound'!$I$201:$I$207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2-42CE-8604-61F5FCC01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886016"/>
        <c:axId val="78887552"/>
      </c:scatterChart>
      <c:valAx>
        <c:axId val="7888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887552"/>
        <c:crosses val="autoZero"/>
        <c:crossBetween val="midCat"/>
      </c:valAx>
      <c:valAx>
        <c:axId val="78887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886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26.07.2018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bound'!$J$227:$J$233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7.0999999999999994E-2</c:v>
                </c:pt>
                <c:pt idx="2">
                  <c:v>0.14599999999999999</c:v>
                </c:pt>
                <c:pt idx="3">
                  <c:v>0.28899999999999998</c:v>
                </c:pt>
                <c:pt idx="4">
                  <c:v>0.43099999999999999</c:v>
                </c:pt>
                <c:pt idx="5">
                  <c:v>0.56599999999999995</c:v>
                </c:pt>
                <c:pt idx="6" formatCode="0.000">
                  <c:v>0.7</c:v>
                </c:pt>
              </c:numCache>
            </c:numRef>
          </c:xVal>
          <c:yVal>
            <c:numRef>
              <c:f>'P-Ca bound'!$I$227:$I$233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D7-4C38-A07D-61E09B4CD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49760"/>
        <c:axId val="78959744"/>
      </c:scatterChart>
      <c:valAx>
        <c:axId val="7894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959744"/>
        <c:crosses val="autoZero"/>
        <c:crossBetween val="midCat"/>
      </c:valAx>
      <c:valAx>
        <c:axId val="7895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8949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23.07.2018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bound'!$J$257:$J$263</c:f>
              <c:numCache>
                <c:formatCode>General</c:formatCode>
                <c:ptCount val="7"/>
                <c:pt idx="0">
                  <c:v>3.0000000000000001E-3</c:v>
                </c:pt>
                <c:pt idx="1">
                  <c:v>7.0999999999999994E-2</c:v>
                </c:pt>
                <c:pt idx="2">
                  <c:v>0.14299999999999999</c:v>
                </c:pt>
                <c:pt idx="3">
                  <c:v>0.28799999999999998</c:v>
                </c:pt>
                <c:pt idx="4">
                  <c:v>0.42599999999999999</c:v>
                </c:pt>
                <c:pt idx="5">
                  <c:v>0.57399999999999995</c:v>
                </c:pt>
                <c:pt idx="6" formatCode="0.000">
                  <c:v>0.70699999999999996</c:v>
                </c:pt>
              </c:numCache>
            </c:numRef>
          </c:xVal>
          <c:yVal>
            <c:numRef>
              <c:f>'P-Ca bound'!$I$257:$I$263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45-495D-8D60-07CA697E9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6528"/>
        <c:axId val="79048064"/>
      </c:scatterChart>
      <c:valAx>
        <c:axId val="7904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048064"/>
        <c:crosses val="autoZero"/>
        <c:crossBetween val="midCat"/>
      </c:valAx>
      <c:valAx>
        <c:axId val="7904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904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03.08.2018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bound'!$J$284:$J$290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7.6999999999999999E-2</c:v>
                </c:pt>
                <c:pt idx="2">
                  <c:v>0.14899999999999999</c:v>
                </c:pt>
                <c:pt idx="3">
                  <c:v>0.29299999999999998</c:v>
                </c:pt>
                <c:pt idx="4">
                  <c:v>0.44500000000000001</c:v>
                </c:pt>
                <c:pt idx="5">
                  <c:v>0.58499999999999996</c:v>
                </c:pt>
                <c:pt idx="6" formatCode="0.000">
                  <c:v>0.72499999999999998</c:v>
                </c:pt>
              </c:numCache>
            </c:numRef>
          </c:xVal>
          <c:yVal>
            <c:numRef>
              <c:f>'P-Ca bound'!$I$284:$I$290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F0-49DD-B699-BFE1B367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02464"/>
        <c:axId val="80304000"/>
      </c:scatterChart>
      <c:valAx>
        <c:axId val="8030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304000"/>
        <c:crosses val="autoZero"/>
        <c:crossBetween val="midCat"/>
      </c:valAx>
      <c:valAx>
        <c:axId val="8030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302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SD 14.08.2018</a:t>
            </a:r>
          </a:p>
        </c:rich>
      </c:tx>
      <c:layout>
        <c:manualLayout>
          <c:xMode val="edge"/>
          <c:yMode val="edge"/>
          <c:x val="0.24238751974482758"/>
          <c:y val="4.866565025381586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9407481927166998E-2"/>
          <c:y val="0.22427810231385306"/>
          <c:w val="0.86306590054621557"/>
          <c:h val="0.63544517996079553"/>
        </c:manualLayout>
      </c:layout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1191658513632406"/>
                  <c:y val="7.197976369632736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'P-Ca bound'!$J$311:$J$317</c:f>
              <c:numCache>
                <c:formatCode>General</c:formatCode>
                <c:ptCount val="7"/>
                <c:pt idx="0">
                  <c:v>5.0000000000000001E-3</c:v>
                </c:pt>
                <c:pt idx="1">
                  <c:v>7.4999999999999997E-2</c:v>
                </c:pt>
                <c:pt idx="2">
                  <c:v>0.14499999999999999</c:v>
                </c:pt>
                <c:pt idx="3">
                  <c:v>0.28699999999999998</c:v>
                </c:pt>
                <c:pt idx="4">
                  <c:v>0.433</c:v>
                </c:pt>
                <c:pt idx="5">
                  <c:v>0.57699999999999996</c:v>
                </c:pt>
                <c:pt idx="6" formatCode="0.000">
                  <c:v>0.70699999999999996</c:v>
                </c:pt>
              </c:numCache>
            </c:numRef>
          </c:xVal>
          <c:yVal>
            <c:numRef>
              <c:f>'P-Ca bound'!$I$311:$I$317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0.8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FA-4B6F-A470-5CB857252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333440"/>
        <c:axId val="80216448"/>
      </c:scatterChart>
      <c:valAx>
        <c:axId val="80333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216448"/>
        <c:crosses val="autoZero"/>
        <c:crossBetween val="midCat"/>
      </c:valAx>
      <c:valAx>
        <c:axId val="802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0333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pc="0" baseline="0"/>
      </a:pPr>
      <a:endParaRPr lang="de-DE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13" Type="http://schemas.openxmlformats.org/officeDocument/2006/relationships/chart" Target="../charts/chart31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12" Type="http://schemas.openxmlformats.org/officeDocument/2006/relationships/chart" Target="../charts/chart30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Relationship Id="rId14" Type="http://schemas.openxmlformats.org/officeDocument/2006/relationships/chart" Target="../charts/chart3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578645</xdr:colOff>
      <xdr:row>171</xdr:row>
      <xdr:rowOff>148827</xdr:rowOff>
    </xdr:from>
    <xdr:to>
      <xdr:col>17</xdr:col>
      <xdr:colOff>375048</xdr:colOff>
      <xdr:row>181</xdr:row>
      <xdr:rowOff>51196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187</xdr:row>
      <xdr:rowOff>0</xdr:rowOff>
    </xdr:from>
    <xdr:to>
      <xdr:col>16</xdr:col>
      <xdr:colOff>476250</xdr:colOff>
      <xdr:row>197</xdr:row>
      <xdr:rowOff>90488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159</xdr:row>
      <xdr:rowOff>154780</xdr:rowOff>
    </xdr:from>
    <xdr:to>
      <xdr:col>17</xdr:col>
      <xdr:colOff>357187</xdr:colOff>
      <xdr:row>169</xdr:row>
      <xdr:rowOff>125015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139</xdr:row>
      <xdr:rowOff>0</xdr:rowOff>
    </xdr:from>
    <xdr:to>
      <xdr:col>16</xdr:col>
      <xdr:colOff>373062</xdr:colOff>
      <xdr:row>149</xdr:row>
      <xdr:rowOff>90488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117</xdr:row>
      <xdr:rowOff>0</xdr:rowOff>
    </xdr:from>
    <xdr:to>
      <xdr:col>18</xdr:col>
      <xdr:colOff>477837</xdr:colOff>
      <xdr:row>127</xdr:row>
      <xdr:rowOff>90488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106</xdr:row>
      <xdr:rowOff>0</xdr:rowOff>
    </xdr:from>
    <xdr:to>
      <xdr:col>18</xdr:col>
      <xdr:colOff>477837</xdr:colOff>
      <xdr:row>116</xdr:row>
      <xdr:rowOff>90488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36634</xdr:colOff>
      <xdr:row>94</xdr:row>
      <xdr:rowOff>21981</xdr:rowOff>
    </xdr:from>
    <xdr:to>
      <xdr:col>13</xdr:col>
      <xdr:colOff>358607</xdr:colOff>
      <xdr:row>104</xdr:row>
      <xdr:rowOff>112469</xdr:rowOff>
    </xdr:to>
    <xdr:graphicFrame macro="">
      <xdr:nvGraphicFramePr>
        <xdr:cNvPr id="18" name="Chart 3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289890</xdr:colOff>
      <xdr:row>77</xdr:row>
      <xdr:rowOff>24848</xdr:rowOff>
    </xdr:from>
    <xdr:to>
      <xdr:col>19</xdr:col>
      <xdr:colOff>167614</xdr:colOff>
      <xdr:row>87</xdr:row>
      <xdr:rowOff>115336</xdr:rowOff>
    </xdr:to>
    <xdr:graphicFrame macro="">
      <xdr:nvGraphicFramePr>
        <xdr:cNvPr id="26" name="Chart 31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0</xdr:colOff>
      <xdr:row>92</xdr:row>
      <xdr:rowOff>0</xdr:rowOff>
    </xdr:from>
    <xdr:to>
      <xdr:col>22</xdr:col>
      <xdr:colOff>10245</xdr:colOff>
      <xdr:row>102</xdr:row>
      <xdr:rowOff>90488</xdr:rowOff>
    </xdr:to>
    <xdr:graphicFrame macro="">
      <xdr:nvGraphicFramePr>
        <xdr:cNvPr id="30" name="Chart 3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359020</xdr:colOff>
      <xdr:row>51</xdr:row>
      <xdr:rowOff>0</xdr:rowOff>
    </xdr:from>
    <xdr:to>
      <xdr:col>16</xdr:col>
      <xdr:colOff>542193</xdr:colOff>
      <xdr:row>65</xdr:row>
      <xdr:rowOff>29308</xdr:rowOff>
    </xdr:to>
    <xdr:graphicFrame macro="">
      <xdr:nvGraphicFramePr>
        <xdr:cNvPr id="33" name="Chart 3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333376</xdr:colOff>
      <xdr:row>22</xdr:row>
      <xdr:rowOff>95250</xdr:rowOff>
    </xdr:from>
    <xdr:to>
      <xdr:col>16</xdr:col>
      <xdr:colOff>242910</xdr:colOff>
      <xdr:row>36</xdr:row>
      <xdr:rowOff>175480</xdr:rowOff>
    </xdr:to>
    <xdr:graphicFrame macro="">
      <xdr:nvGraphicFramePr>
        <xdr:cNvPr id="34" name="Chart 3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0</xdr:colOff>
      <xdr:row>214</xdr:row>
      <xdr:rowOff>0</xdr:rowOff>
    </xdr:from>
    <xdr:to>
      <xdr:col>16</xdr:col>
      <xdr:colOff>463827</xdr:colOff>
      <xdr:row>229</xdr:row>
      <xdr:rowOff>115956</xdr:rowOff>
    </xdr:to>
    <xdr:graphicFrame macro="">
      <xdr:nvGraphicFramePr>
        <xdr:cNvPr id="35" name="Chart 1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10</xdr:col>
      <xdr:colOff>707573</xdr:colOff>
      <xdr:row>241</xdr:row>
      <xdr:rowOff>136072</xdr:rowOff>
    </xdr:from>
    <xdr:to>
      <xdr:col>16</xdr:col>
      <xdr:colOff>122466</xdr:colOff>
      <xdr:row>252</xdr:row>
      <xdr:rowOff>122464</xdr:rowOff>
    </xdr:to>
    <xdr:graphicFrame macro="">
      <xdr:nvGraphicFramePr>
        <xdr:cNvPr id="36" name="Chart 1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254</xdr:row>
      <xdr:rowOff>0</xdr:rowOff>
    </xdr:from>
    <xdr:to>
      <xdr:col>16</xdr:col>
      <xdr:colOff>129268</xdr:colOff>
      <xdr:row>264</xdr:row>
      <xdr:rowOff>176892</xdr:rowOff>
    </xdr:to>
    <xdr:graphicFrame macro="">
      <xdr:nvGraphicFramePr>
        <xdr:cNvPr id="37" name="Chart 1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10</xdr:col>
      <xdr:colOff>714375</xdr:colOff>
      <xdr:row>266</xdr:row>
      <xdr:rowOff>190500</xdr:rowOff>
    </xdr:from>
    <xdr:to>
      <xdr:col>16</xdr:col>
      <xdr:colOff>129268</xdr:colOff>
      <xdr:row>277</xdr:row>
      <xdr:rowOff>176892</xdr:rowOff>
    </xdr:to>
    <xdr:graphicFrame macro="">
      <xdr:nvGraphicFramePr>
        <xdr:cNvPr id="38" name="Chart 16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714375</xdr:colOff>
      <xdr:row>295</xdr:row>
      <xdr:rowOff>190500</xdr:rowOff>
    </xdr:from>
    <xdr:to>
      <xdr:col>16</xdr:col>
      <xdr:colOff>129268</xdr:colOff>
      <xdr:row>306</xdr:row>
      <xdr:rowOff>176892</xdr:rowOff>
    </xdr:to>
    <xdr:graphicFrame macro="">
      <xdr:nvGraphicFramePr>
        <xdr:cNvPr id="39" name="Chart 1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390525</xdr:colOff>
      <xdr:row>321</xdr:row>
      <xdr:rowOff>47625</xdr:rowOff>
    </xdr:from>
    <xdr:to>
      <xdr:col>19</xdr:col>
      <xdr:colOff>14968</xdr:colOff>
      <xdr:row>332</xdr:row>
      <xdr:rowOff>34017</xdr:rowOff>
    </xdr:to>
    <xdr:graphicFrame macro="">
      <xdr:nvGraphicFramePr>
        <xdr:cNvPr id="19" name="Chart 1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57150</xdr:colOff>
      <xdr:row>333</xdr:row>
      <xdr:rowOff>114300</xdr:rowOff>
    </xdr:from>
    <xdr:to>
      <xdr:col>19</xdr:col>
      <xdr:colOff>357868</xdr:colOff>
      <xdr:row>344</xdr:row>
      <xdr:rowOff>100692</xdr:rowOff>
    </xdr:to>
    <xdr:graphicFrame macro="">
      <xdr:nvGraphicFramePr>
        <xdr:cNvPr id="20" name="Chart 16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255983</xdr:colOff>
      <xdr:row>30</xdr:row>
      <xdr:rowOff>11906</xdr:rowOff>
    </xdr:from>
    <xdr:to>
      <xdr:col>15</xdr:col>
      <xdr:colOff>303609</xdr:colOff>
      <xdr:row>40</xdr:row>
      <xdr:rowOff>136921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410765</xdr:colOff>
      <xdr:row>14</xdr:row>
      <xdr:rowOff>41672</xdr:rowOff>
    </xdr:from>
    <xdr:to>
      <xdr:col>16</xdr:col>
      <xdr:colOff>168558</xdr:colOff>
      <xdr:row>25</xdr:row>
      <xdr:rowOff>28064</xdr:rowOff>
    </xdr:to>
    <xdr:graphicFrame macro="">
      <xdr:nvGraphicFramePr>
        <xdr:cNvPr id="16" name="Chart 16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375046</xdr:colOff>
      <xdr:row>1</xdr:row>
      <xdr:rowOff>154781</xdr:rowOff>
    </xdr:from>
    <xdr:to>
      <xdr:col>16</xdr:col>
      <xdr:colOff>148828</xdr:colOff>
      <xdr:row>13</xdr:row>
      <xdr:rowOff>57829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261937</xdr:colOff>
      <xdr:row>41</xdr:row>
      <xdr:rowOff>154781</xdr:rowOff>
    </xdr:from>
    <xdr:to>
      <xdr:col>15</xdr:col>
      <xdr:colOff>309563</xdr:colOff>
      <xdr:row>52</xdr:row>
      <xdr:rowOff>89296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309562</xdr:colOff>
      <xdr:row>58</xdr:row>
      <xdr:rowOff>11906</xdr:rowOff>
    </xdr:from>
    <xdr:to>
      <xdr:col>15</xdr:col>
      <xdr:colOff>357188</xdr:colOff>
      <xdr:row>68</xdr:row>
      <xdr:rowOff>136921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607218</xdr:colOff>
      <xdr:row>87</xdr:row>
      <xdr:rowOff>0</xdr:rowOff>
    </xdr:from>
    <xdr:to>
      <xdr:col>16</xdr:col>
      <xdr:colOff>47625</xdr:colOff>
      <xdr:row>97</xdr:row>
      <xdr:rowOff>125015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607218</xdr:colOff>
      <xdr:row>114</xdr:row>
      <xdr:rowOff>0</xdr:rowOff>
    </xdr:from>
    <xdr:to>
      <xdr:col>16</xdr:col>
      <xdr:colOff>47625</xdr:colOff>
      <xdr:row>124</xdr:row>
      <xdr:rowOff>125015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145</xdr:row>
      <xdr:rowOff>0</xdr:rowOff>
    </xdr:from>
    <xdr:to>
      <xdr:col>17</xdr:col>
      <xdr:colOff>47625</xdr:colOff>
      <xdr:row>155</xdr:row>
      <xdr:rowOff>125015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170</xdr:row>
      <xdr:rowOff>0</xdr:rowOff>
    </xdr:from>
    <xdr:to>
      <xdr:col>17</xdr:col>
      <xdr:colOff>47625</xdr:colOff>
      <xdr:row>180</xdr:row>
      <xdr:rowOff>125015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198</xdr:row>
      <xdr:rowOff>0</xdr:rowOff>
    </xdr:from>
    <xdr:to>
      <xdr:col>17</xdr:col>
      <xdr:colOff>47625</xdr:colOff>
      <xdr:row>208</xdr:row>
      <xdr:rowOff>125015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224</xdr:row>
      <xdr:rowOff>0</xdr:rowOff>
    </xdr:from>
    <xdr:to>
      <xdr:col>17</xdr:col>
      <xdr:colOff>47625</xdr:colOff>
      <xdr:row>234</xdr:row>
      <xdr:rowOff>125015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0</xdr:colOff>
      <xdr:row>254</xdr:row>
      <xdr:rowOff>0</xdr:rowOff>
    </xdr:from>
    <xdr:to>
      <xdr:col>17</xdr:col>
      <xdr:colOff>47625</xdr:colOff>
      <xdr:row>264</xdr:row>
      <xdr:rowOff>125015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281</xdr:row>
      <xdr:rowOff>0</xdr:rowOff>
    </xdr:from>
    <xdr:to>
      <xdr:col>17</xdr:col>
      <xdr:colOff>47625</xdr:colOff>
      <xdr:row>291</xdr:row>
      <xdr:rowOff>125015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439616</xdr:colOff>
      <xdr:row>308</xdr:row>
      <xdr:rowOff>80597</xdr:rowOff>
    </xdr:from>
    <xdr:to>
      <xdr:col>15</xdr:col>
      <xdr:colOff>428626</xdr:colOff>
      <xdr:row>319</xdr:row>
      <xdr:rowOff>37092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2"/>
  <sheetViews>
    <sheetView topLeftCell="A316" zoomScale="115" zoomScaleNormal="115" workbookViewId="0">
      <selection activeCell="D335" sqref="D335"/>
    </sheetView>
  </sheetViews>
  <sheetFormatPr defaultColWidth="9.140625" defaultRowHeight="15"/>
  <cols>
    <col min="2" max="2" width="10.28515625" style="1" bestFit="1" customWidth="1"/>
    <col min="3" max="3" width="10.28515625" style="1" customWidth="1"/>
    <col min="4" max="4" width="10" bestFit="1" customWidth="1"/>
    <col min="5" max="5" width="12.5703125" bestFit="1" customWidth="1"/>
    <col min="7" max="7" width="10.140625" bestFit="1" customWidth="1"/>
    <col min="9" max="9" width="10.140625" bestFit="1" customWidth="1"/>
    <col min="11" max="12" width="10.7109375" bestFit="1" customWidth="1"/>
    <col min="13" max="13" width="9.140625" customWidth="1"/>
    <col min="14" max="15" width="10.140625" bestFit="1" customWidth="1"/>
  </cols>
  <sheetData>
    <row r="1" spans="1:14">
      <c r="A1" s="62" t="s">
        <v>5</v>
      </c>
      <c r="B1" s="66"/>
      <c r="C1" s="66"/>
      <c r="D1" s="63"/>
      <c r="F1" s="62" t="s">
        <v>6</v>
      </c>
      <c r="G1" s="66"/>
      <c r="H1" s="63"/>
      <c r="J1" s="62" t="s">
        <v>4</v>
      </c>
      <c r="K1" s="66"/>
      <c r="L1" s="3">
        <v>43266</v>
      </c>
      <c r="M1" s="2" t="s">
        <v>13</v>
      </c>
      <c r="N1" s="8" t="s">
        <v>14</v>
      </c>
    </row>
    <row r="2" spans="1:14">
      <c r="A2" s="2">
        <v>0</v>
      </c>
      <c r="B2" s="9">
        <v>1.0999999999999999E-2</v>
      </c>
      <c r="C2" s="9"/>
      <c r="D2" s="2"/>
      <c r="F2" s="2">
        <v>0</v>
      </c>
      <c r="G2" s="2">
        <v>1E-3</v>
      </c>
      <c r="H2" s="2"/>
      <c r="J2" s="2">
        <v>0</v>
      </c>
      <c r="K2" s="2">
        <v>4.0000000000000001E-3</v>
      </c>
      <c r="L2" s="4">
        <v>2E-3</v>
      </c>
      <c r="M2" s="2">
        <v>0</v>
      </c>
      <c r="N2" s="8">
        <v>1.2999999999999999E-2</v>
      </c>
    </row>
    <row r="3" spans="1:14">
      <c r="A3" s="2">
        <v>0.1</v>
      </c>
      <c r="B3" s="9">
        <v>0.17399999999999999</v>
      </c>
      <c r="C3" s="9"/>
      <c r="D3" s="2"/>
      <c r="F3" s="2">
        <v>0.1</v>
      </c>
      <c r="G3" s="2"/>
      <c r="H3" s="2">
        <v>0.21299999999999999</v>
      </c>
      <c r="J3" s="2">
        <v>1</v>
      </c>
      <c r="K3" s="2">
        <v>0.71399999999999997</v>
      </c>
      <c r="L3" s="4">
        <v>7.1999999999999995E-2</v>
      </c>
      <c r="M3" s="2">
        <v>1</v>
      </c>
      <c r="N3" s="8">
        <v>9.4E-2</v>
      </c>
    </row>
    <row r="4" spans="1:14">
      <c r="A4" s="2">
        <v>0.2</v>
      </c>
      <c r="B4" s="9">
        <v>0.32900000000000001</v>
      </c>
      <c r="C4" s="9"/>
      <c r="D4" s="2"/>
      <c r="F4" s="2">
        <v>0.2</v>
      </c>
      <c r="G4" s="2">
        <v>0.14299999999999999</v>
      </c>
      <c r="H4" s="2"/>
      <c r="J4" s="2">
        <v>2</v>
      </c>
      <c r="K4" s="2">
        <v>1.3540000000000001</v>
      </c>
      <c r="L4" s="4">
        <v>0.14399999999999999</v>
      </c>
      <c r="M4" s="2">
        <v>2</v>
      </c>
      <c r="N4" s="8">
        <v>0.183</v>
      </c>
    </row>
    <row r="5" spans="1:14">
      <c r="A5" s="2">
        <v>0.4</v>
      </c>
      <c r="B5" s="9">
        <v>0.64100000000000001</v>
      </c>
      <c r="C5" s="9"/>
      <c r="D5" s="2"/>
      <c r="F5" s="2">
        <v>0.4</v>
      </c>
      <c r="G5" s="2">
        <v>0.29399999999999998</v>
      </c>
      <c r="H5" s="2"/>
      <c r="J5" s="2">
        <v>4</v>
      </c>
      <c r="K5" s="2">
        <v>1.873</v>
      </c>
      <c r="L5" s="4">
        <v>0.3</v>
      </c>
      <c r="M5" s="2">
        <v>4</v>
      </c>
      <c r="N5" s="8">
        <v>0.371</v>
      </c>
    </row>
    <row r="6" spans="1:14">
      <c r="A6" s="2">
        <v>0.6</v>
      </c>
      <c r="B6" s="9">
        <v>0.91400000000000003</v>
      </c>
      <c r="C6" s="9"/>
      <c r="D6" s="2"/>
      <c r="F6" s="2">
        <v>0.6</v>
      </c>
      <c r="G6" s="2">
        <v>0.42899999999999999</v>
      </c>
      <c r="H6" s="2"/>
      <c r="J6" s="2">
        <v>6</v>
      </c>
      <c r="K6" s="2">
        <v>1.9730000000000001</v>
      </c>
      <c r="L6" s="4">
        <v>0.433</v>
      </c>
      <c r="M6" s="2">
        <v>6</v>
      </c>
      <c r="N6" s="8">
        <v>0.503</v>
      </c>
    </row>
    <row r="7" spans="1:14">
      <c r="A7" s="2">
        <v>0.8</v>
      </c>
      <c r="B7" s="9">
        <v>1.198</v>
      </c>
      <c r="C7" s="9"/>
      <c r="D7" s="2"/>
      <c r="F7" s="2">
        <v>0.8</v>
      </c>
      <c r="G7" s="2">
        <v>0.56999999999999995</v>
      </c>
      <c r="H7" s="2"/>
      <c r="J7" s="2">
        <v>8</v>
      </c>
      <c r="K7" s="2">
        <v>2.0470000000000002</v>
      </c>
      <c r="L7" s="4">
        <v>0.56799999999999995</v>
      </c>
      <c r="M7" s="2">
        <v>8</v>
      </c>
      <c r="N7" s="8">
        <v>0.67100000000000004</v>
      </c>
    </row>
    <row r="8" spans="1:14">
      <c r="A8" s="2">
        <v>1</v>
      </c>
      <c r="B8" s="9">
        <v>1.46</v>
      </c>
      <c r="C8" s="9"/>
      <c r="D8" s="2"/>
      <c r="F8" s="2">
        <v>1</v>
      </c>
      <c r="G8" s="2">
        <v>0.71099999999999997</v>
      </c>
      <c r="H8" s="2"/>
      <c r="J8" s="2">
        <v>10</v>
      </c>
      <c r="K8" s="2">
        <v>2.0179999999999998</v>
      </c>
      <c r="L8" s="4">
        <v>0.72799999999999998</v>
      </c>
      <c r="M8" s="2">
        <v>10</v>
      </c>
      <c r="N8" s="8">
        <v>0.81</v>
      </c>
    </row>
    <row r="13" spans="1:14">
      <c r="A13" t="s">
        <v>0</v>
      </c>
      <c r="B13" s="1" t="s">
        <v>1</v>
      </c>
      <c r="D13" t="s">
        <v>2</v>
      </c>
    </row>
    <row r="14" spans="1:14">
      <c r="A14">
        <v>1</v>
      </c>
      <c r="B14" s="1">
        <v>9.6000000000000002E-2</v>
      </c>
      <c r="D14" s="1">
        <f>(1.4093*B14)-0.0045</f>
        <v>0.13079279999999999</v>
      </c>
    </row>
    <row r="15" spans="1:14">
      <c r="A15">
        <v>2</v>
      </c>
      <c r="B15" s="1">
        <v>8.5000000000000006E-2</v>
      </c>
      <c r="D15" s="1">
        <f t="shared" ref="D15:D20" si="0">(1.4093*B15)-0.0045</f>
        <v>0.1152905</v>
      </c>
    </row>
    <row r="16" spans="1:14">
      <c r="A16">
        <v>3</v>
      </c>
      <c r="B16" s="1">
        <v>0.19400000000000001</v>
      </c>
      <c r="D16" s="1">
        <f t="shared" si="0"/>
        <v>0.26890419999999998</v>
      </c>
    </row>
    <row r="17" spans="1:10">
      <c r="A17">
        <v>4</v>
      </c>
      <c r="B17" s="1">
        <v>0.13800000000000001</v>
      </c>
      <c r="D17" s="1">
        <f t="shared" si="0"/>
        <v>0.18998340000000002</v>
      </c>
    </row>
    <row r="18" spans="1:10">
      <c r="A18">
        <v>5</v>
      </c>
      <c r="B18" s="1">
        <v>7.0000000000000007E-2</v>
      </c>
      <c r="D18" s="1">
        <f t="shared" si="0"/>
        <v>9.4150999999999999E-2</v>
      </c>
    </row>
    <row r="19" spans="1:10">
      <c r="A19">
        <v>6</v>
      </c>
      <c r="B19" s="1">
        <v>0.29399999999999998</v>
      </c>
      <c r="D19" s="1">
        <f t="shared" si="0"/>
        <v>0.40983419999999998</v>
      </c>
    </row>
    <row r="20" spans="1:10">
      <c r="A20" t="s">
        <v>3</v>
      </c>
      <c r="B20" s="1">
        <v>0.01</v>
      </c>
      <c r="D20" s="1">
        <f t="shared" si="0"/>
        <v>9.5930000000000008E-3</v>
      </c>
    </row>
    <row r="22" spans="1:10" ht="15.75">
      <c r="A22" s="6" t="s">
        <v>7</v>
      </c>
    </row>
    <row r="23" spans="1:10">
      <c r="A23" s="5" t="s">
        <v>11</v>
      </c>
      <c r="B23" s="10" t="s">
        <v>12</v>
      </c>
      <c r="C23" s="10"/>
      <c r="D23" s="5" t="s">
        <v>2</v>
      </c>
      <c r="E23" s="5" t="s">
        <v>19</v>
      </c>
    </row>
    <row r="24" spans="1:10">
      <c r="A24" s="5"/>
      <c r="B24" s="10"/>
      <c r="C24" s="10" t="s">
        <v>103</v>
      </c>
      <c r="D24" s="5" t="s">
        <v>18</v>
      </c>
      <c r="E24" s="5" t="s">
        <v>18</v>
      </c>
    </row>
    <row r="25" spans="1:10">
      <c r="A25" s="17">
        <v>1</v>
      </c>
      <c r="B25" s="13">
        <v>0.127</v>
      </c>
      <c r="C25" s="13"/>
      <c r="D25">
        <f>(B25*$J$36)-$J$37</f>
        <v>0.17368710000000001</v>
      </c>
      <c r="E25">
        <f>D25-$D$49</f>
        <v>0.16786330000000002</v>
      </c>
    </row>
    <row r="26" spans="1:10">
      <c r="A26" s="17">
        <v>4</v>
      </c>
      <c r="B26" s="13">
        <v>0.104</v>
      </c>
      <c r="C26" s="13"/>
      <c r="D26">
        <f t="shared" ref="D26:D49" si="1">(B26*$J$36)-$J$37</f>
        <v>0.14177919999999999</v>
      </c>
      <c r="E26">
        <f t="shared" ref="E26:E49" si="2">D26-$D$49</f>
        <v>0.1359554</v>
      </c>
      <c r="I26" s="67" t="s">
        <v>246</v>
      </c>
      <c r="J26" s="68"/>
    </row>
    <row r="27" spans="1:10">
      <c r="A27" s="17">
        <v>8</v>
      </c>
      <c r="B27" s="13">
        <v>0.187</v>
      </c>
      <c r="C27" s="13"/>
      <c r="D27">
        <f t="shared" si="1"/>
        <v>0.25692510000000002</v>
      </c>
      <c r="E27">
        <f t="shared" si="2"/>
        <v>0.25110130000000003</v>
      </c>
      <c r="I27" s="41">
        <v>0</v>
      </c>
      <c r="J27" s="41">
        <v>2E-3</v>
      </c>
    </row>
    <row r="28" spans="1:10">
      <c r="A28" s="17">
        <v>10</v>
      </c>
      <c r="B28" s="13">
        <v>0.125</v>
      </c>
      <c r="C28" s="13"/>
      <c r="D28">
        <f t="shared" si="1"/>
        <v>0.17091249999999999</v>
      </c>
      <c r="E28">
        <f t="shared" si="2"/>
        <v>0.1650887</v>
      </c>
      <c r="I28" s="41">
        <v>0.1</v>
      </c>
      <c r="J28" s="41">
        <v>7.1999999999999995E-2</v>
      </c>
    </row>
    <row r="29" spans="1:10">
      <c r="A29" s="17">
        <v>14</v>
      </c>
      <c r="B29" s="13">
        <v>6.9000000000000006E-2</v>
      </c>
      <c r="C29" s="13"/>
      <c r="D29">
        <f t="shared" si="1"/>
        <v>9.3223700000000007E-2</v>
      </c>
      <c r="E29">
        <f t="shared" si="2"/>
        <v>8.7399900000000003E-2</v>
      </c>
      <c r="I29" s="41">
        <v>0.2</v>
      </c>
      <c r="J29" s="41">
        <v>0.14399999999999999</v>
      </c>
    </row>
    <row r="30" spans="1:10">
      <c r="A30" s="17">
        <v>18</v>
      </c>
      <c r="B30" s="13">
        <v>9.5000000000000001E-2</v>
      </c>
      <c r="C30" s="13"/>
      <c r="D30">
        <f t="shared" si="1"/>
        <v>0.12929350000000001</v>
      </c>
      <c r="E30">
        <f t="shared" si="2"/>
        <v>0.1234697</v>
      </c>
      <c r="I30" s="41">
        <v>0.4</v>
      </c>
      <c r="J30" s="42">
        <v>0.3</v>
      </c>
    </row>
    <row r="31" spans="1:10">
      <c r="A31" s="17">
        <v>21</v>
      </c>
      <c r="B31" s="13">
        <v>6.4000000000000001E-2</v>
      </c>
      <c r="C31" s="13"/>
      <c r="D31">
        <f t="shared" si="1"/>
        <v>8.6287199999999994E-2</v>
      </c>
      <c r="E31">
        <f t="shared" si="2"/>
        <v>8.046339999999999E-2</v>
      </c>
      <c r="I31" s="41">
        <v>0.6</v>
      </c>
      <c r="J31" s="41">
        <v>0.433</v>
      </c>
    </row>
    <row r="32" spans="1:10">
      <c r="A32" s="17">
        <v>22</v>
      </c>
      <c r="B32" s="13">
        <v>7.6999999999999999E-2</v>
      </c>
      <c r="C32" s="13"/>
      <c r="D32">
        <f t="shared" si="1"/>
        <v>0.1043221</v>
      </c>
      <c r="E32">
        <f t="shared" si="2"/>
        <v>9.8498299999999997E-2</v>
      </c>
      <c r="I32" s="41">
        <v>0.8</v>
      </c>
      <c r="J32" s="41">
        <v>0.56799999999999995</v>
      </c>
    </row>
    <row r="33" spans="1:10">
      <c r="A33" s="17">
        <v>26</v>
      </c>
      <c r="B33" s="13">
        <v>0.24099999999999999</v>
      </c>
      <c r="C33" s="13"/>
      <c r="D33">
        <f t="shared" si="1"/>
        <v>0.3318393</v>
      </c>
      <c r="E33">
        <f t="shared" si="2"/>
        <v>0.32601550000000001</v>
      </c>
      <c r="I33" s="41">
        <v>1</v>
      </c>
      <c r="J33" s="41">
        <v>0.72799999999999998</v>
      </c>
    </row>
    <row r="34" spans="1:10">
      <c r="A34" s="17">
        <v>29</v>
      </c>
      <c r="B34" s="13">
        <v>0.10100000000000001</v>
      </c>
      <c r="C34" s="13"/>
      <c r="D34">
        <f t="shared" si="1"/>
        <v>0.1376173</v>
      </c>
      <c r="E34">
        <f t="shared" si="2"/>
        <v>0.13179350000000001</v>
      </c>
    </row>
    <row r="35" spans="1:10">
      <c r="A35" s="17">
        <v>32</v>
      </c>
      <c r="B35" s="13">
        <v>0.122</v>
      </c>
      <c r="C35" s="13"/>
      <c r="D35">
        <f t="shared" si="1"/>
        <v>0.1667506</v>
      </c>
      <c r="E35">
        <f t="shared" si="2"/>
        <v>0.16092680000000001</v>
      </c>
    </row>
    <row r="36" spans="1:10">
      <c r="A36" s="17">
        <v>35</v>
      </c>
      <c r="B36" s="13">
        <v>0.115</v>
      </c>
      <c r="C36" s="13"/>
      <c r="D36">
        <f t="shared" si="1"/>
        <v>0.1570395</v>
      </c>
      <c r="E36">
        <f t="shared" si="2"/>
        <v>0.15121570000000001</v>
      </c>
      <c r="I36" t="s">
        <v>260</v>
      </c>
      <c r="J36">
        <v>1.3873</v>
      </c>
    </row>
    <row r="37" spans="1:10">
      <c r="A37" s="17">
        <v>38</v>
      </c>
      <c r="B37" s="13">
        <v>0.157</v>
      </c>
      <c r="C37" s="13"/>
      <c r="D37">
        <f t="shared" si="1"/>
        <v>0.2153061</v>
      </c>
      <c r="E37">
        <f t="shared" si="2"/>
        <v>0.20948230000000001</v>
      </c>
      <c r="I37" t="s">
        <v>261</v>
      </c>
      <c r="J37">
        <v>2.5000000000000001E-3</v>
      </c>
    </row>
    <row r="38" spans="1:10">
      <c r="A38" s="17">
        <v>41</v>
      </c>
      <c r="B38" s="13">
        <v>0.56899999999999995</v>
      </c>
      <c r="C38" s="13"/>
      <c r="D38">
        <f t="shared" si="1"/>
        <v>0.78687370000000001</v>
      </c>
      <c r="E38">
        <f t="shared" si="2"/>
        <v>0.78104989999999996</v>
      </c>
    </row>
    <row r="39" spans="1:10">
      <c r="A39" s="17">
        <v>43</v>
      </c>
      <c r="B39" s="13">
        <v>0.38300000000000001</v>
      </c>
      <c r="C39" s="13"/>
      <c r="D39">
        <f t="shared" si="1"/>
        <v>0.52883590000000003</v>
      </c>
      <c r="E39">
        <f t="shared" si="2"/>
        <v>0.52301209999999998</v>
      </c>
    </row>
    <row r="40" spans="1:10">
      <c r="A40" s="17">
        <v>47</v>
      </c>
      <c r="B40" s="13">
        <v>0.21299999999999999</v>
      </c>
      <c r="C40" s="13"/>
      <c r="D40">
        <f t="shared" si="1"/>
        <v>0.2929949</v>
      </c>
      <c r="E40">
        <f t="shared" si="2"/>
        <v>0.28717110000000001</v>
      </c>
    </row>
    <row r="41" spans="1:10">
      <c r="A41" s="17">
        <v>49</v>
      </c>
      <c r="B41" s="13">
        <v>0.16800000000000001</v>
      </c>
      <c r="C41" s="13"/>
      <c r="D41">
        <f t="shared" si="1"/>
        <v>0.2305664</v>
      </c>
      <c r="E41">
        <f t="shared" si="2"/>
        <v>0.22474260000000001</v>
      </c>
    </row>
    <row r="42" spans="1:10">
      <c r="A42" s="17">
        <v>54</v>
      </c>
      <c r="B42" s="13">
        <v>6.4000000000000001E-2</v>
      </c>
      <c r="C42" s="13"/>
      <c r="D42">
        <f t="shared" si="1"/>
        <v>8.6287199999999994E-2</v>
      </c>
      <c r="E42">
        <f t="shared" si="2"/>
        <v>8.046339999999999E-2</v>
      </c>
    </row>
    <row r="43" spans="1:10">
      <c r="A43" s="17">
        <v>57</v>
      </c>
      <c r="B43" s="13">
        <v>0.61</v>
      </c>
      <c r="C43" s="13"/>
      <c r="D43">
        <f t="shared" si="1"/>
        <v>0.84375299999999998</v>
      </c>
      <c r="E43">
        <f t="shared" si="2"/>
        <v>0.83792919999999993</v>
      </c>
    </row>
    <row r="44" spans="1:10">
      <c r="A44" s="17">
        <v>60</v>
      </c>
      <c r="B44" s="13">
        <v>6.9000000000000006E-2</v>
      </c>
      <c r="C44" s="13"/>
      <c r="D44">
        <f t="shared" si="1"/>
        <v>9.3223700000000007E-2</v>
      </c>
      <c r="E44">
        <f t="shared" si="2"/>
        <v>8.7399900000000003E-2</v>
      </c>
    </row>
    <row r="45" spans="1:10">
      <c r="A45" s="17">
        <v>61</v>
      </c>
      <c r="B45" s="13">
        <v>0.14799999999999999</v>
      </c>
      <c r="C45" s="13"/>
      <c r="D45">
        <f t="shared" si="1"/>
        <v>0.20282039999999998</v>
      </c>
      <c r="E45">
        <f t="shared" si="2"/>
        <v>0.19699659999999999</v>
      </c>
    </row>
    <row r="46" spans="1:10">
      <c r="A46" s="17">
        <v>65</v>
      </c>
      <c r="B46" s="13">
        <v>0.22900000000000001</v>
      </c>
      <c r="C46" s="13"/>
      <c r="D46">
        <f t="shared" si="1"/>
        <v>0.31519170000000002</v>
      </c>
      <c r="E46">
        <f t="shared" si="2"/>
        <v>0.30936790000000003</v>
      </c>
    </row>
    <row r="47" spans="1:10">
      <c r="A47" s="17" t="s">
        <v>8</v>
      </c>
      <c r="B47" s="13">
        <v>0.28199999999999997</v>
      </c>
      <c r="C47" s="13"/>
      <c r="D47">
        <f t="shared" si="1"/>
        <v>0.38871859999999997</v>
      </c>
      <c r="E47">
        <f t="shared" si="2"/>
        <v>0.38289479999999998</v>
      </c>
    </row>
    <row r="48" spans="1:10">
      <c r="A48" s="17" t="s">
        <v>9</v>
      </c>
      <c r="B48" s="13">
        <v>0.26900000000000002</v>
      </c>
      <c r="C48" s="13"/>
      <c r="D48">
        <f t="shared" si="1"/>
        <v>0.3706837</v>
      </c>
      <c r="E48">
        <f t="shared" si="2"/>
        <v>0.36485990000000001</v>
      </c>
    </row>
    <row r="49" spans="1:11">
      <c r="A49" s="17" t="s">
        <v>10</v>
      </c>
      <c r="B49" s="13">
        <v>6.0000000000000001E-3</v>
      </c>
      <c r="C49" s="13"/>
      <c r="D49">
        <f t="shared" si="1"/>
        <v>5.8237999999999988E-3</v>
      </c>
      <c r="E49">
        <f t="shared" si="2"/>
        <v>0</v>
      </c>
    </row>
    <row r="50" spans="1:11">
      <c r="A50" s="17"/>
      <c r="B50" s="13"/>
      <c r="C50" s="13"/>
    </row>
    <row r="51" spans="1:11">
      <c r="A51" s="17"/>
      <c r="B51" s="13" t="s">
        <v>100</v>
      </c>
      <c r="C51" s="13"/>
      <c r="D51" s="5" t="s">
        <v>2</v>
      </c>
      <c r="E51" s="5" t="s">
        <v>19</v>
      </c>
    </row>
    <row r="52" spans="1:11">
      <c r="A52" s="17"/>
      <c r="B52" s="13"/>
      <c r="C52" s="13" t="s">
        <v>103</v>
      </c>
      <c r="D52" s="5" t="s">
        <v>18</v>
      </c>
      <c r="E52" s="5" t="s">
        <v>18</v>
      </c>
    </row>
    <row r="53" spans="1:11">
      <c r="A53" s="17">
        <v>66</v>
      </c>
      <c r="B53" s="13">
        <v>0.17100000000000001</v>
      </c>
      <c r="C53" s="13"/>
      <c r="D53">
        <f>(B53*$K$64)-$K$65</f>
        <v>0.18557270000000003</v>
      </c>
      <c r="E53">
        <f>D53-$D$77</f>
        <v>0.18282390000000004</v>
      </c>
    </row>
    <row r="54" spans="1:11">
      <c r="A54" s="17">
        <v>72</v>
      </c>
      <c r="B54" s="13">
        <v>1.931</v>
      </c>
      <c r="C54" s="13">
        <v>0.29099999999999998</v>
      </c>
      <c r="D54">
        <f>10*((C54*$K$64)-$K$65)</f>
        <v>3.3481669999999997</v>
      </c>
      <c r="E54">
        <f>D54-$D$77</f>
        <v>3.3454181999999997</v>
      </c>
      <c r="J54" s="65" t="s">
        <v>245</v>
      </c>
      <c r="K54" s="65"/>
    </row>
    <row r="55" spans="1:11">
      <c r="A55" s="17">
        <v>75</v>
      </c>
      <c r="B55" s="13">
        <v>0.14099999999999999</v>
      </c>
      <c r="C55" s="13"/>
      <c r="D55">
        <f>(B55*$K$64)-K67</f>
        <v>0.17536169999999998</v>
      </c>
      <c r="E55">
        <f t="shared" ref="E55:E77" si="3">D55-$D$77</f>
        <v>0.17261289999999999</v>
      </c>
      <c r="J55" s="62" t="s">
        <v>17</v>
      </c>
      <c r="K55" s="63"/>
    </row>
    <row r="56" spans="1:11">
      <c r="A56" s="17">
        <v>76</v>
      </c>
      <c r="B56" s="13">
        <v>0.81200000000000006</v>
      </c>
      <c r="C56" s="13"/>
      <c r="D56">
        <f t="shared" ref="D56:D59" si="4">(B56*$K$64)-K68</f>
        <v>1.0098844</v>
      </c>
      <c r="E56">
        <f t="shared" si="3"/>
        <v>1.0071356</v>
      </c>
      <c r="J56" s="2">
        <v>0</v>
      </c>
      <c r="K56" s="41">
        <v>1.2999999999999999E-2</v>
      </c>
    </row>
    <row r="57" spans="1:11">
      <c r="A57" s="17">
        <v>81</v>
      </c>
      <c r="B57" s="13">
        <v>0.20100000000000001</v>
      </c>
      <c r="C57" s="13"/>
      <c r="D57">
        <f t="shared" si="4"/>
        <v>0.24998370000000003</v>
      </c>
      <c r="E57">
        <f t="shared" si="3"/>
        <v>0.24723490000000004</v>
      </c>
      <c r="J57" s="2">
        <v>0.1</v>
      </c>
      <c r="K57" s="41">
        <v>9.4E-2</v>
      </c>
    </row>
    <row r="58" spans="1:11">
      <c r="A58" s="52">
        <v>83</v>
      </c>
      <c r="B58" s="12">
        <v>1.1499999999999999</v>
      </c>
      <c r="C58" s="12">
        <v>0.11600000000000001</v>
      </c>
      <c r="D58">
        <f>10*((C58*$K$64)-$K$65)</f>
        <v>1.1716920000000002</v>
      </c>
      <c r="E58" s="52">
        <f>D58-$D$77</f>
        <v>1.1689432000000002</v>
      </c>
      <c r="J58" s="2">
        <v>0.2</v>
      </c>
      <c r="K58" s="41">
        <v>0.183</v>
      </c>
    </row>
    <row r="59" spans="1:11">
      <c r="A59" s="18">
        <v>85</v>
      </c>
      <c r="B59" s="43">
        <v>1.4430000000000001</v>
      </c>
      <c r="C59" s="43"/>
      <c r="D59">
        <f t="shared" si="4"/>
        <v>1.7946591000000001</v>
      </c>
      <c r="E59" s="26">
        <f t="shared" si="3"/>
        <v>1.7919103000000001</v>
      </c>
      <c r="J59" s="2">
        <v>0.4</v>
      </c>
      <c r="K59" s="41">
        <v>0.371</v>
      </c>
    </row>
    <row r="60" spans="1:11">
      <c r="A60" s="52">
        <v>89</v>
      </c>
      <c r="B60" s="12">
        <v>1.8959999999999999</v>
      </c>
      <c r="C60" s="12">
        <v>0.26200000000000001</v>
      </c>
      <c r="D60">
        <f>10*((C60*$K$64)-$K$65)</f>
        <v>2.9874939999999999</v>
      </c>
      <c r="E60" s="52">
        <f>D60-$D$77</f>
        <v>2.9847451999999999</v>
      </c>
      <c r="J60" s="2">
        <v>0.6</v>
      </c>
      <c r="K60" s="41">
        <v>0.503</v>
      </c>
    </row>
    <row r="61" spans="1:11">
      <c r="A61" s="17">
        <v>91</v>
      </c>
      <c r="B61" s="13">
        <v>0.36599999999999999</v>
      </c>
      <c r="C61" s="13"/>
      <c r="D61">
        <f>(B61*$K$64)-$K$65</f>
        <v>0.42809419999999998</v>
      </c>
      <c r="E61">
        <f t="shared" si="3"/>
        <v>0.42534539999999998</v>
      </c>
      <c r="J61" s="2">
        <v>0.8</v>
      </c>
      <c r="K61" s="41">
        <v>0.67100000000000004</v>
      </c>
    </row>
    <row r="62" spans="1:11">
      <c r="A62" s="17">
        <v>95</v>
      </c>
      <c r="B62" s="13">
        <v>0.154</v>
      </c>
      <c r="C62" s="13"/>
      <c r="D62">
        <f t="shared" ref="D62:D77" si="5">(B62*$K$64)-$K$65</f>
        <v>0.16442980000000001</v>
      </c>
      <c r="E62">
        <f t="shared" si="3"/>
        <v>0.16168100000000002</v>
      </c>
      <c r="J62" s="2">
        <v>1</v>
      </c>
      <c r="K62" s="42">
        <v>0.81</v>
      </c>
    </row>
    <row r="63" spans="1:11">
      <c r="A63" s="17">
        <v>98</v>
      </c>
      <c r="B63" s="13">
        <v>0.105</v>
      </c>
      <c r="C63" s="13"/>
      <c r="D63">
        <f t="shared" si="5"/>
        <v>0.1034885</v>
      </c>
      <c r="E63">
        <f t="shared" si="3"/>
        <v>0.10073969999999999</v>
      </c>
      <c r="K63" s="17"/>
    </row>
    <row r="64" spans="1:11">
      <c r="A64" s="17">
        <v>101</v>
      </c>
      <c r="B64" s="13">
        <v>7.2999999999999995E-2</v>
      </c>
      <c r="C64" s="13"/>
      <c r="D64">
        <f t="shared" si="5"/>
        <v>6.3690099999999999E-2</v>
      </c>
      <c r="E64">
        <f t="shared" si="3"/>
        <v>6.0941299999999997E-2</v>
      </c>
      <c r="J64" t="s">
        <v>260</v>
      </c>
      <c r="K64">
        <v>1.2437</v>
      </c>
    </row>
    <row r="65" spans="1:13">
      <c r="A65" s="17">
        <v>105</v>
      </c>
      <c r="B65" s="13">
        <v>0.107</v>
      </c>
      <c r="C65" s="13"/>
      <c r="D65">
        <f t="shared" si="5"/>
        <v>0.1059759</v>
      </c>
      <c r="E65">
        <f t="shared" si="3"/>
        <v>0.10322709999999999</v>
      </c>
      <c r="J65" t="s">
        <v>259</v>
      </c>
      <c r="K65">
        <v>2.7099999999999999E-2</v>
      </c>
    </row>
    <row r="66" spans="1:13">
      <c r="A66" s="17">
        <v>108</v>
      </c>
      <c r="B66" s="13">
        <v>8.8999999999999996E-2</v>
      </c>
      <c r="C66" s="13"/>
      <c r="D66">
        <f t="shared" si="5"/>
        <v>8.3589299999999991E-2</v>
      </c>
      <c r="E66">
        <f t="shared" si="3"/>
        <v>8.0840499999999982E-2</v>
      </c>
    </row>
    <row r="67" spans="1:13">
      <c r="A67" s="17">
        <v>109</v>
      </c>
      <c r="B67" s="13">
        <v>0.23</v>
      </c>
      <c r="C67" s="13"/>
      <c r="D67">
        <f t="shared" si="5"/>
        <v>0.25895099999999999</v>
      </c>
      <c r="E67">
        <f t="shared" si="3"/>
        <v>0.25620219999999999</v>
      </c>
    </row>
    <row r="68" spans="1:13">
      <c r="A68" s="17">
        <v>114</v>
      </c>
      <c r="B68" s="13">
        <v>0.109</v>
      </c>
      <c r="C68" s="13"/>
      <c r="D68">
        <f t="shared" si="5"/>
        <v>0.1084633</v>
      </c>
      <c r="E68">
        <f t="shared" si="3"/>
        <v>0.10571449999999999</v>
      </c>
    </row>
    <row r="69" spans="1:13">
      <c r="A69" s="17">
        <v>117</v>
      </c>
      <c r="B69" s="13">
        <v>0.1</v>
      </c>
      <c r="C69" s="13"/>
      <c r="D69">
        <f t="shared" si="5"/>
        <v>9.7270000000000009E-2</v>
      </c>
      <c r="E69">
        <f t="shared" si="3"/>
        <v>9.45212E-2</v>
      </c>
    </row>
    <row r="70" spans="1:13">
      <c r="A70" s="17">
        <v>118</v>
      </c>
      <c r="B70" s="13">
        <v>0.81599999999999995</v>
      </c>
      <c r="C70" s="13"/>
      <c r="D70">
        <f t="shared" si="5"/>
        <v>0.98775919999999984</v>
      </c>
      <c r="E70">
        <f t="shared" si="3"/>
        <v>0.98501039999999984</v>
      </c>
    </row>
    <row r="71" spans="1:13">
      <c r="A71" s="17">
        <v>122</v>
      </c>
      <c r="B71" s="13">
        <v>0.38900000000000001</v>
      </c>
      <c r="C71" s="13"/>
      <c r="D71">
        <f t="shared" si="5"/>
        <v>0.45669930000000003</v>
      </c>
      <c r="E71">
        <f t="shared" si="3"/>
        <v>0.45395050000000003</v>
      </c>
    </row>
    <row r="72" spans="1:13">
      <c r="A72" s="17">
        <v>126</v>
      </c>
      <c r="B72" s="13">
        <v>0.214</v>
      </c>
      <c r="C72" s="13"/>
      <c r="D72">
        <f t="shared" si="5"/>
        <v>0.23905179999999998</v>
      </c>
      <c r="E72">
        <f t="shared" si="3"/>
        <v>0.23630299999999999</v>
      </c>
    </row>
    <row r="73" spans="1:13">
      <c r="A73" s="17">
        <v>128</v>
      </c>
      <c r="B73" s="13">
        <v>0.77400000000000002</v>
      </c>
      <c r="C73" s="13"/>
      <c r="D73">
        <f t="shared" si="5"/>
        <v>0.93552380000000002</v>
      </c>
      <c r="E73">
        <f t="shared" si="3"/>
        <v>0.93277500000000002</v>
      </c>
    </row>
    <row r="74" spans="1:13">
      <c r="A74" s="17">
        <v>132</v>
      </c>
      <c r="B74" s="13">
        <v>0.152</v>
      </c>
      <c r="C74" s="13"/>
      <c r="D74">
        <f t="shared" si="5"/>
        <v>0.16194239999999999</v>
      </c>
      <c r="E74">
        <f t="shared" si="3"/>
        <v>0.15919359999999999</v>
      </c>
    </row>
    <row r="75" spans="1:13">
      <c r="A75" s="17" t="s">
        <v>9</v>
      </c>
      <c r="B75" s="13">
        <v>0.29899999999999999</v>
      </c>
      <c r="C75" s="13"/>
      <c r="D75">
        <f t="shared" si="5"/>
        <v>0.34476629999999997</v>
      </c>
      <c r="E75">
        <f t="shared" si="3"/>
        <v>0.34201749999999997</v>
      </c>
    </row>
    <row r="76" spans="1:13">
      <c r="A76" s="17" t="s">
        <v>15</v>
      </c>
      <c r="B76" s="13">
        <v>0.32</v>
      </c>
      <c r="C76" s="13"/>
      <c r="D76">
        <f t="shared" si="5"/>
        <v>0.37088399999999999</v>
      </c>
      <c r="E76">
        <f t="shared" si="3"/>
        <v>0.3681352</v>
      </c>
      <c r="G76" s="17" t="s">
        <v>101</v>
      </c>
      <c r="H76" s="5" t="s">
        <v>2</v>
      </c>
      <c r="I76" s="5" t="s">
        <v>19</v>
      </c>
    </row>
    <row r="77" spans="1:13">
      <c r="A77" s="17" t="s">
        <v>258</v>
      </c>
      <c r="B77" s="13">
        <v>2.4E-2</v>
      </c>
      <c r="C77" s="13"/>
      <c r="D77">
        <f t="shared" si="5"/>
        <v>2.7488000000000026E-3</v>
      </c>
      <c r="E77">
        <f t="shared" si="3"/>
        <v>0</v>
      </c>
      <c r="G77" s="17" t="s">
        <v>103</v>
      </c>
      <c r="H77" s="5" t="s">
        <v>18</v>
      </c>
      <c r="I77" s="5" t="s">
        <v>18</v>
      </c>
    </row>
    <row r="78" spans="1:13">
      <c r="A78" s="17"/>
      <c r="B78" s="13" t="s">
        <v>100</v>
      </c>
      <c r="C78" s="13"/>
      <c r="D78" s="5" t="s">
        <v>2</v>
      </c>
      <c r="E78" s="5" t="s">
        <v>19</v>
      </c>
      <c r="F78" s="17"/>
    </row>
    <row r="79" spans="1:13">
      <c r="A79" s="17"/>
      <c r="B79" s="13"/>
      <c r="C79" s="13" t="s">
        <v>103</v>
      </c>
      <c r="D79" s="5" t="s">
        <v>18</v>
      </c>
      <c r="E79" s="5" t="s">
        <v>18</v>
      </c>
      <c r="F79" s="17"/>
      <c r="I79" s="62" t="s">
        <v>102</v>
      </c>
      <c r="J79" s="66"/>
      <c r="K79" s="66"/>
      <c r="L79" s="63"/>
      <c r="M79" s="39" t="s">
        <v>101</v>
      </c>
    </row>
    <row r="80" spans="1:13">
      <c r="A80" s="20" t="s">
        <v>50</v>
      </c>
      <c r="B80" s="13">
        <v>0.57199999999999995</v>
      </c>
      <c r="C80" s="13"/>
      <c r="D80">
        <f>($J$90*B80)-$J$91</f>
        <v>0.75685159999999996</v>
      </c>
      <c r="E80">
        <f>D80-$D$104</f>
        <v>0.75324859999999993</v>
      </c>
      <c r="G80" s="17"/>
      <c r="I80" s="64" t="s">
        <v>46</v>
      </c>
      <c r="J80" s="64"/>
      <c r="K80" s="62" t="s">
        <v>17</v>
      </c>
      <c r="L80" s="63"/>
      <c r="M80" s="19" t="s">
        <v>17</v>
      </c>
    </row>
    <row r="81" spans="1:13">
      <c r="A81" s="20" t="s">
        <v>51</v>
      </c>
      <c r="B81" s="13">
        <v>0.40600000000000003</v>
      </c>
      <c r="C81" s="13"/>
      <c r="D81">
        <f>($J$90*B81)-$J$91</f>
        <v>0.5343618</v>
      </c>
      <c r="E81">
        <f>D81-$D$104</f>
        <v>0.53075879999999998</v>
      </c>
      <c r="F81" s="17"/>
      <c r="I81" s="19">
        <v>0</v>
      </c>
      <c r="J81" s="15">
        <v>6.0000000000000001E-3</v>
      </c>
      <c r="K81" s="19">
        <v>0</v>
      </c>
      <c r="L81" s="16">
        <v>6.0000000000000001E-3</v>
      </c>
      <c r="M81" s="19">
        <v>8.9999999999999993E-3</v>
      </c>
    </row>
    <row r="82" spans="1:13">
      <c r="A82" s="29" t="s">
        <v>52</v>
      </c>
      <c r="B82" s="11">
        <v>1.266</v>
      </c>
      <c r="C82" s="11">
        <v>0.13200000000000001</v>
      </c>
      <c r="D82" s="7">
        <f>(($J$90*C82)-$J$91)*10</f>
        <v>1.6711960000000001</v>
      </c>
      <c r="E82" s="7">
        <f>D82-$D$104</f>
        <v>1.6675930000000001</v>
      </c>
      <c r="F82" s="17"/>
      <c r="I82" s="19">
        <v>0.1</v>
      </c>
      <c r="J82" s="15">
        <v>7.5999999999999998E-2</v>
      </c>
      <c r="K82" s="19">
        <v>0.1</v>
      </c>
      <c r="L82" s="16">
        <v>7.6999999999999999E-2</v>
      </c>
      <c r="M82" s="19">
        <v>8.8999999999999996E-2</v>
      </c>
    </row>
    <row r="83" spans="1:13">
      <c r="A83" s="20" t="s">
        <v>53</v>
      </c>
      <c r="B83" s="13">
        <v>0.96499999999999997</v>
      </c>
      <c r="C83" s="13"/>
      <c r="D83">
        <f>($J$90*B83)-$J$91</f>
        <v>1.2835894999999999</v>
      </c>
      <c r="E83">
        <f t="shared" ref="E83:E92" si="6">D83-$D$104</f>
        <v>1.2799864999999999</v>
      </c>
      <c r="F83" s="17"/>
      <c r="I83" s="19">
        <v>0.2</v>
      </c>
      <c r="J83" s="15">
        <v>0.155</v>
      </c>
      <c r="K83" s="19">
        <v>0.2</v>
      </c>
      <c r="L83" s="16">
        <v>0.153</v>
      </c>
      <c r="M83" s="19">
        <v>0.19500000000000001</v>
      </c>
    </row>
    <row r="84" spans="1:13">
      <c r="A84" s="20" t="s">
        <v>54</v>
      </c>
      <c r="B84" s="13">
        <v>0.19600000000000001</v>
      </c>
      <c r="C84" s="13"/>
      <c r="D84">
        <f t="shared" ref="D84:D104" si="7">($J$90*B84)-$J$91</f>
        <v>0.25289880000000003</v>
      </c>
      <c r="E84">
        <f t="shared" si="6"/>
        <v>0.24929580000000004</v>
      </c>
      <c r="F84" s="17"/>
      <c r="I84" s="19">
        <v>0.4</v>
      </c>
      <c r="J84" s="15">
        <v>0.32600000000000001</v>
      </c>
      <c r="K84" s="19">
        <v>0.4</v>
      </c>
      <c r="L84" s="16">
        <v>0.314</v>
      </c>
      <c r="M84" s="19">
        <v>0.44</v>
      </c>
    </row>
    <row r="85" spans="1:13">
      <c r="A85" s="20" t="s">
        <v>55</v>
      </c>
      <c r="B85" s="13">
        <v>0.17799999999999999</v>
      </c>
      <c r="C85" s="13"/>
      <c r="D85">
        <f t="shared" si="7"/>
        <v>0.22877339999999999</v>
      </c>
      <c r="E85">
        <f t="shared" si="6"/>
        <v>0.22517039999999999</v>
      </c>
      <c r="F85" s="17"/>
      <c r="I85" s="19">
        <v>0.6</v>
      </c>
      <c r="J85" s="15">
        <v>0.46300000000000002</v>
      </c>
      <c r="K85" s="19">
        <v>0.6</v>
      </c>
      <c r="L85" s="16">
        <v>0.46600000000000003</v>
      </c>
      <c r="M85" s="19">
        <v>0.57199999999999995</v>
      </c>
    </row>
    <row r="86" spans="1:13">
      <c r="A86" s="20" t="s">
        <v>56</v>
      </c>
      <c r="B86" s="13">
        <v>0.27800000000000002</v>
      </c>
      <c r="C86" s="13"/>
      <c r="D86">
        <f t="shared" si="7"/>
        <v>0.36280340000000005</v>
      </c>
      <c r="E86">
        <f t="shared" si="6"/>
        <v>0.35920040000000003</v>
      </c>
      <c r="F86" s="17"/>
      <c r="I86" s="19">
        <v>0.8</v>
      </c>
      <c r="J86" s="15">
        <v>0.59799999999999998</v>
      </c>
      <c r="K86" s="19">
        <v>0.8</v>
      </c>
      <c r="L86" s="16">
        <v>0.60199999999999998</v>
      </c>
      <c r="M86" s="19">
        <v>0.65600000000000003</v>
      </c>
    </row>
    <row r="87" spans="1:13">
      <c r="A87" s="20" t="s">
        <v>57</v>
      </c>
      <c r="B87" s="13">
        <v>0.13600000000000001</v>
      </c>
      <c r="C87" s="13"/>
      <c r="D87">
        <f t="shared" si="7"/>
        <v>0.17248080000000002</v>
      </c>
      <c r="E87">
        <f t="shared" si="6"/>
        <v>0.16887780000000002</v>
      </c>
      <c r="F87" s="17"/>
      <c r="I87" s="19">
        <v>1</v>
      </c>
      <c r="J87" s="15">
        <v>0.76</v>
      </c>
      <c r="K87" s="19">
        <v>1</v>
      </c>
      <c r="L87" s="16">
        <v>0.746</v>
      </c>
      <c r="M87" s="19">
        <v>0.88400000000000001</v>
      </c>
    </row>
    <row r="88" spans="1:13">
      <c r="A88" s="20" t="s">
        <v>58</v>
      </c>
      <c r="B88" s="13">
        <v>0.19500000000000001</v>
      </c>
      <c r="C88" s="13"/>
      <c r="D88">
        <f t="shared" si="7"/>
        <v>0.25155850000000002</v>
      </c>
      <c r="E88">
        <f t="shared" si="6"/>
        <v>0.24795550000000002</v>
      </c>
      <c r="F88" s="17"/>
    </row>
    <row r="89" spans="1:13">
      <c r="A89" s="20" t="s">
        <v>59</v>
      </c>
      <c r="B89" s="13">
        <v>0.16</v>
      </c>
      <c r="C89" s="13"/>
      <c r="D89">
        <f t="shared" si="7"/>
        <v>0.204648</v>
      </c>
      <c r="E89">
        <f t="shared" si="6"/>
        <v>0.201045</v>
      </c>
      <c r="F89" s="17"/>
    </row>
    <row r="90" spans="1:13">
      <c r="A90" s="20" t="s">
        <v>60</v>
      </c>
      <c r="B90" s="13">
        <v>0.108</v>
      </c>
      <c r="C90" s="13"/>
      <c r="D90">
        <f t="shared" si="7"/>
        <v>0.1349524</v>
      </c>
      <c r="E90">
        <f t="shared" si="6"/>
        <v>0.13134940000000001</v>
      </c>
      <c r="F90" s="17"/>
      <c r="I90" t="s">
        <v>260</v>
      </c>
      <c r="J90">
        <v>1.3403</v>
      </c>
    </row>
    <row r="91" spans="1:13">
      <c r="A91" s="20" t="s">
        <v>61</v>
      </c>
      <c r="B91" s="13">
        <v>0.21</v>
      </c>
      <c r="C91" s="13"/>
      <c r="D91">
        <f t="shared" si="7"/>
        <v>0.27166300000000004</v>
      </c>
      <c r="E91">
        <f t="shared" si="6"/>
        <v>0.26806000000000002</v>
      </c>
      <c r="F91" s="17"/>
      <c r="G91" s="17"/>
      <c r="I91" t="s">
        <v>259</v>
      </c>
      <c r="J91">
        <v>9.7999999999999997E-3</v>
      </c>
    </row>
    <row r="92" spans="1:13">
      <c r="A92" s="20" t="s">
        <v>62</v>
      </c>
      <c r="B92" s="13">
        <v>0.245</v>
      </c>
      <c r="C92" s="13"/>
      <c r="D92">
        <f t="shared" si="7"/>
        <v>0.31857350000000001</v>
      </c>
      <c r="E92">
        <f t="shared" si="6"/>
        <v>0.31497049999999999</v>
      </c>
      <c r="F92" s="17"/>
    </row>
    <row r="93" spans="1:13">
      <c r="A93" s="29" t="s">
        <v>63</v>
      </c>
      <c r="B93" s="11">
        <v>1.19</v>
      </c>
      <c r="C93" s="11">
        <v>0.114</v>
      </c>
      <c r="D93" s="7">
        <f>(($J$90*C93)-$J$91)*10</f>
        <v>1.429942</v>
      </c>
      <c r="E93" s="7">
        <f>D93-$D$104</f>
        <v>1.426339</v>
      </c>
      <c r="F93" s="17"/>
    </row>
    <row r="94" spans="1:13">
      <c r="A94" s="20" t="s">
        <v>64</v>
      </c>
      <c r="B94" s="13">
        <v>0.47799999999999998</v>
      </c>
      <c r="C94" s="13"/>
      <c r="D94">
        <f t="shared" si="7"/>
        <v>0.63086339999999996</v>
      </c>
      <c r="E94">
        <f t="shared" ref="E94:E104" si="8">D94-$D$104</f>
        <v>0.62726039999999994</v>
      </c>
      <c r="F94" s="17"/>
    </row>
    <row r="95" spans="1:13">
      <c r="A95" s="20" t="s">
        <v>65</v>
      </c>
      <c r="B95" s="13">
        <v>0.41199999999999998</v>
      </c>
      <c r="C95" s="13"/>
      <c r="D95">
        <f t="shared" si="7"/>
        <v>0.54240359999999999</v>
      </c>
      <c r="E95">
        <f t="shared" si="8"/>
        <v>0.53880059999999996</v>
      </c>
      <c r="F95" s="17"/>
    </row>
    <row r="96" spans="1:13">
      <c r="A96" s="20" t="s">
        <v>66</v>
      </c>
      <c r="B96" s="13">
        <v>0.32900000000000001</v>
      </c>
      <c r="C96" s="13"/>
      <c r="D96">
        <f t="shared" si="7"/>
        <v>0.43115870000000006</v>
      </c>
      <c r="E96">
        <f t="shared" si="8"/>
        <v>0.42755570000000004</v>
      </c>
      <c r="F96" s="17"/>
    </row>
    <row r="97" spans="1:12">
      <c r="A97" s="20" t="s">
        <v>67</v>
      </c>
      <c r="B97" s="13">
        <v>0.105</v>
      </c>
      <c r="C97" s="13"/>
      <c r="D97">
        <f t="shared" si="7"/>
        <v>0.13093150000000001</v>
      </c>
      <c r="E97">
        <f t="shared" si="8"/>
        <v>0.12732850000000001</v>
      </c>
      <c r="F97" s="17"/>
    </row>
    <row r="98" spans="1:12">
      <c r="A98" s="20" t="s">
        <v>68</v>
      </c>
      <c r="B98" s="13">
        <v>0.625</v>
      </c>
      <c r="C98" s="13"/>
      <c r="D98">
        <f t="shared" si="7"/>
        <v>0.8278875</v>
      </c>
      <c r="E98">
        <f t="shared" si="8"/>
        <v>0.82428449999999998</v>
      </c>
      <c r="F98" s="17"/>
    </row>
    <row r="99" spans="1:12">
      <c r="A99" s="20" t="s">
        <v>69</v>
      </c>
      <c r="B99" s="13">
        <v>0.14499999999999999</v>
      </c>
      <c r="C99" s="13"/>
      <c r="D99">
        <f t="shared" si="7"/>
        <v>0.1845435</v>
      </c>
      <c r="E99">
        <f t="shared" si="8"/>
        <v>0.1809405</v>
      </c>
      <c r="F99" s="17"/>
    </row>
    <row r="100" spans="1:12">
      <c r="A100" s="20" t="s">
        <v>70</v>
      </c>
      <c r="B100" s="13">
        <v>0.111</v>
      </c>
      <c r="C100" s="13"/>
      <c r="D100">
        <f t="shared" si="7"/>
        <v>0.13897329999999999</v>
      </c>
      <c r="E100">
        <f t="shared" si="8"/>
        <v>0.1353703</v>
      </c>
      <c r="F100" s="17"/>
    </row>
    <row r="101" spans="1:12">
      <c r="A101" s="20" t="s">
        <v>71</v>
      </c>
      <c r="B101" s="13">
        <v>9.5000000000000001E-2</v>
      </c>
      <c r="C101" s="13"/>
      <c r="D101">
        <f t="shared" si="7"/>
        <v>0.11752850000000001</v>
      </c>
      <c r="E101">
        <f t="shared" si="8"/>
        <v>0.11392550000000001</v>
      </c>
      <c r="F101" s="17"/>
    </row>
    <row r="102" spans="1:12">
      <c r="A102" s="20" t="s">
        <v>72</v>
      </c>
      <c r="B102" s="13">
        <v>0.30499999999999999</v>
      </c>
      <c r="C102" s="13"/>
      <c r="D102">
        <f t="shared" si="7"/>
        <v>0.39899150000000005</v>
      </c>
      <c r="E102">
        <f t="shared" si="8"/>
        <v>0.39538850000000003</v>
      </c>
      <c r="F102" s="17"/>
    </row>
    <row r="103" spans="1:12">
      <c r="A103" s="20" t="s">
        <v>73</v>
      </c>
      <c r="B103" s="13">
        <v>0.30499999999999999</v>
      </c>
      <c r="C103" s="13"/>
      <c r="D103">
        <f t="shared" si="7"/>
        <v>0.39899150000000005</v>
      </c>
      <c r="E103">
        <f t="shared" si="8"/>
        <v>0.39538850000000003</v>
      </c>
    </row>
    <row r="104" spans="1:12">
      <c r="A104" s="20" t="s">
        <v>74</v>
      </c>
      <c r="B104" s="1">
        <v>0.01</v>
      </c>
      <c r="D104">
        <f t="shared" si="7"/>
        <v>3.6030000000000003E-3</v>
      </c>
      <c r="E104">
        <f t="shared" si="8"/>
        <v>0</v>
      </c>
    </row>
    <row r="106" spans="1:12">
      <c r="A106" s="17"/>
      <c r="B106" s="13" t="s">
        <v>224</v>
      </c>
      <c r="C106" s="13"/>
      <c r="D106" s="5" t="s">
        <v>2</v>
      </c>
      <c r="E106" s="5" t="s">
        <v>19</v>
      </c>
      <c r="I106" s="62" t="s">
        <v>45</v>
      </c>
      <c r="J106" s="66"/>
      <c r="K106" s="66"/>
      <c r="L106" s="63"/>
    </row>
    <row r="107" spans="1:12">
      <c r="A107" s="17"/>
      <c r="B107" s="13"/>
      <c r="C107" s="13" t="s">
        <v>103</v>
      </c>
      <c r="D107" s="5" t="s">
        <v>18</v>
      </c>
      <c r="E107" s="5" t="s">
        <v>18</v>
      </c>
      <c r="I107" s="64" t="s">
        <v>46</v>
      </c>
      <c r="J107" s="64"/>
      <c r="K107" s="62" t="s">
        <v>17</v>
      </c>
      <c r="L107" s="63"/>
    </row>
    <row r="108" spans="1:12">
      <c r="A108" t="s">
        <v>20</v>
      </c>
      <c r="B108" s="13">
        <v>0.67900000000000005</v>
      </c>
      <c r="C108" s="13"/>
      <c r="D108">
        <f>($J$118*B108)-$J$119</f>
        <v>0.86462870000000014</v>
      </c>
      <c r="E108">
        <f>D108-$D$132</f>
        <v>0.84934980000000015</v>
      </c>
      <c r="F108" s="17" t="s">
        <v>244</v>
      </c>
      <c r="I108" s="14">
        <v>0</v>
      </c>
      <c r="J108" s="15">
        <v>4.0000000000000001E-3</v>
      </c>
      <c r="K108" s="14">
        <v>0</v>
      </c>
      <c r="L108" s="16">
        <v>6.0000000000000001E-3</v>
      </c>
    </row>
    <row r="109" spans="1:12">
      <c r="A109" t="s">
        <v>21</v>
      </c>
      <c r="B109" s="13">
        <v>0.93</v>
      </c>
      <c r="C109" s="13"/>
      <c r="D109">
        <f t="shared" ref="D109:D111" si="9">($J$118*B109)-$J$119</f>
        <v>1.1847290000000001</v>
      </c>
      <c r="E109">
        <f t="shared" ref="E109:E132" si="10">D109-$D$132</f>
        <v>1.1694501000000002</v>
      </c>
      <c r="I109" s="14">
        <v>0.1</v>
      </c>
      <c r="J109" s="15">
        <v>7.8E-2</v>
      </c>
      <c r="K109" s="14">
        <v>0.1</v>
      </c>
      <c r="L109" s="16">
        <v>7.9000000000000001E-2</v>
      </c>
    </row>
    <row r="110" spans="1:12">
      <c r="A110" t="s">
        <v>22</v>
      </c>
      <c r="B110" s="13">
        <v>0.20599999999999999</v>
      </c>
      <c r="C110" s="13"/>
      <c r="D110">
        <f t="shared" si="9"/>
        <v>0.26141179999999997</v>
      </c>
      <c r="E110">
        <f t="shared" si="10"/>
        <v>0.24613289999999996</v>
      </c>
      <c r="I110" s="14">
        <v>0.2</v>
      </c>
      <c r="J110" s="15">
        <v>0.16</v>
      </c>
      <c r="K110" s="14">
        <v>0.2</v>
      </c>
      <c r="L110" s="16">
        <v>0.16</v>
      </c>
    </row>
    <row r="111" spans="1:12">
      <c r="A111" t="s">
        <v>23</v>
      </c>
      <c r="B111" s="1">
        <v>0.82699999999999996</v>
      </c>
      <c r="D111">
        <f t="shared" si="9"/>
        <v>1.0533731</v>
      </c>
      <c r="E111">
        <f t="shared" si="10"/>
        <v>1.0380942</v>
      </c>
      <c r="I111" s="14">
        <v>0.4</v>
      </c>
      <c r="J111" s="15">
        <v>0.32300000000000001</v>
      </c>
      <c r="K111" s="14">
        <v>0.4</v>
      </c>
      <c r="L111" s="16">
        <v>0.314</v>
      </c>
    </row>
    <row r="112" spans="1:12">
      <c r="A112" t="s">
        <v>24</v>
      </c>
      <c r="B112" s="11">
        <v>1.7549999999999999</v>
      </c>
      <c r="C112" s="11">
        <v>0.20599999999999999</v>
      </c>
      <c r="D112" s="7">
        <f>10*($J$118*C112-$J$119)</f>
        <v>2.6141179999999995</v>
      </c>
      <c r="E112" s="7">
        <f>D112-$D$132</f>
        <v>2.5988390999999993</v>
      </c>
      <c r="I112" s="14">
        <v>0.6</v>
      </c>
      <c r="J112" s="15">
        <v>0.45800000000000002</v>
      </c>
      <c r="K112" s="14">
        <v>0.6</v>
      </c>
      <c r="L112" s="16">
        <v>0.47</v>
      </c>
    </row>
    <row r="113" spans="1:12">
      <c r="A113" t="s">
        <v>25</v>
      </c>
      <c r="B113" s="11">
        <v>1.9910000000000001</v>
      </c>
      <c r="C113" s="12">
        <v>0.436</v>
      </c>
      <c r="D113" s="7">
        <f>10*($J$118*C113-$J$119)</f>
        <v>5.547308000000001</v>
      </c>
      <c r="E113" s="7">
        <f>D113-$D$132</f>
        <v>5.5320291000000008</v>
      </c>
      <c r="I113" s="14">
        <v>0.8</v>
      </c>
      <c r="J113" s="15">
        <v>0.61699999999999999</v>
      </c>
      <c r="K113" s="14">
        <v>0.8</v>
      </c>
      <c r="L113" s="16">
        <v>0.60799999999999998</v>
      </c>
    </row>
    <row r="114" spans="1:12">
      <c r="A114" t="s">
        <v>26</v>
      </c>
      <c r="B114" s="1">
        <v>0.182</v>
      </c>
      <c r="D114">
        <f t="shared" ref="D114:D131" si="11">($J$118*B114)-$J$119</f>
        <v>0.23080460000000003</v>
      </c>
      <c r="E114">
        <f t="shared" si="10"/>
        <v>0.21552570000000001</v>
      </c>
      <c r="I114" s="14">
        <v>1</v>
      </c>
      <c r="J114" s="15">
        <v>0.79800000000000004</v>
      </c>
      <c r="K114" s="14">
        <v>1</v>
      </c>
      <c r="L114" s="16">
        <v>0.80500000000000005</v>
      </c>
    </row>
    <row r="115" spans="1:12">
      <c r="A115" t="s">
        <v>27</v>
      </c>
      <c r="B115" s="1">
        <v>0.14199999999999999</v>
      </c>
      <c r="D115">
        <f t="shared" si="11"/>
        <v>0.1797926</v>
      </c>
      <c r="E115">
        <f t="shared" si="10"/>
        <v>0.16451369999999998</v>
      </c>
    </row>
    <row r="116" spans="1:12">
      <c r="A116" t="s">
        <v>28</v>
      </c>
      <c r="B116" s="1">
        <v>0.22</v>
      </c>
      <c r="D116">
        <f t="shared" si="11"/>
        <v>0.27926600000000001</v>
      </c>
      <c r="E116">
        <f t="shared" si="10"/>
        <v>0.26398710000000003</v>
      </c>
    </row>
    <row r="117" spans="1:12">
      <c r="A117" t="s">
        <v>29</v>
      </c>
      <c r="B117" s="1">
        <v>0.45100000000000001</v>
      </c>
      <c r="D117">
        <f t="shared" si="11"/>
        <v>0.5738603000000001</v>
      </c>
      <c r="E117">
        <f t="shared" si="10"/>
        <v>0.55858140000000012</v>
      </c>
    </row>
    <row r="118" spans="1:12">
      <c r="A118" t="s">
        <v>30</v>
      </c>
      <c r="B118" s="1">
        <v>0.44400000000000001</v>
      </c>
      <c r="D118">
        <f t="shared" si="11"/>
        <v>0.56493320000000014</v>
      </c>
      <c r="E118">
        <f t="shared" si="10"/>
        <v>0.54965430000000015</v>
      </c>
      <c r="I118" s="5" t="s">
        <v>260</v>
      </c>
      <c r="J118">
        <v>1.2753000000000001</v>
      </c>
    </row>
    <row r="119" spans="1:12">
      <c r="A119" t="s">
        <v>31</v>
      </c>
      <c r="B119" s="1">
        <v>0.25700000000000001</v>
      </c>
      <c r="D119">
        <f t="shared" si="11"/>
        <v>0.32645210000000002</v>
      </c>
      <c r="E119">
        <f t="shared" si="10"/>
        <v>0.31117320000000004</v>
      </c>
      <c r="I119" s="5" t="s">
        <v>261</v>
      </c>
      <c r="J119">
        <v>1.2999999999999999E-3</v>
      </c>
    </row>
    <row r="120" spans="1:12">
      <c r="A120" t="s">
        <v>32</v>
      </c>
      <c r="B120" s="1">
        <v>0.193</v>
      </c>
      <c r="D120">
        <f t="shared" si="11"/>
        <v>0.24483290000000002</v>
      </c>
      <c r="E120">
        <f t="shared" si="10"/>
        <v>0.22955400000000001</v>
      </c>
    </row>
    <row r="121" spans="1:12">
      <c r="A121" t="s">
        <v>33</v>
      </c>
      <c r="B121" s="1">
        <v>9.1999999999999998E-2</v>
      </c>
      <c r="D121">
        <f t="shared" si="11"/>
        <v>0.11602760000000001</v>
      </c>
      <c r="E121">
        <f t="shared" si="10"/>
        <v>0.10074870000000001</v>
      </c>
    </row>
    <row r="122" spans="1:12">
      <c r="A122" t="s">
        <v>34</v>
      </c>
      <c r="B122" s="1">
        <v>0.129</v>
      </c>
      <c r="D122">
        <f t="shared" si="11"/>
        <v>0.16321370000000002</v>
      </c>
      <c r="E122">
        <f t="shared" si="10"/>
        <v>0.14793480000000001</v>
      </c>
    </row>
    <row r="123" spans="1:12">
      <c r="A123" t="s">
        <v>35</v>
      </c>
      <c r="B123" s="1">
        <v>0.18099999999999999</v>
      </c>
      <c r="D123">
        <f t="shared" si="11"/>
        <v>0.22952930000000002</v>
      </c>
      <c r="E123">
        <f t="shared" si="10"/>
        <v>0.21425040000000001</v>
      </c>
    </row>
    <row r="124" spans="1:12">
      <c r="A124" t="s">
        <v>36</v>
      </c>
      <c r="B124" s="1">
        <v>0.16900000000000001</v>
      </c>
      <c r="D124">
        <f t="shared" si="11"/>
        <v>0.21422570000000005</v>
      </c>
      <c r="E124">
        <f t="shared" si="10"/>
        <v>0.19894680000000003</v>
      </c>
    </row>
    <row r="125" spans="1:12">
      <c r="A125" t="s">
        <v>37</v>
      </c>
      <c r="B125" s="1">
        <v>0.157</v>
      </c>
      <c r="D125">
        <f t="shared" si="11"/>
        <v>0.19892210000000002</v>
      </c>
      <c r="E125">
        <f t="shared" si="10"/>
        <v>0.18364320000000001</v>
      </c>
    </row>
    <row r="126" spans="1:12">
      <c r="A126" t="s">
        <v>38</v>
      </c>
      <c r="B126" s="1">
        <v>0.23400000000000001</v>
      </c>
      <c r="D126">
        <f t="shared" si="11"/>
        <v>0.2971202</v>
      </c>
      <c r="E126">
        <f t="shared" si="10"/>
        <v>0.28184130000000002</v>
      </c>
    </row>
    <row r="127" spans="1:12">
      <c r="A127" t="s">
        <v>39</v>
      </c>
      <c r="B127" s="1">
        <v>6.6000000000000003E-2</v>
      </c>
      <c r="D127">
        <f t="shared" si="11"/>
        <v>8.2869800000000021E-2</v>
      </c>
      <c r="E127">
        <f t="shared" si="10"/>
        <v>6.7590900000000023E-2</v>
      </c>
    </row>
    <row r="128" spans="1:12">
      <c r="A128" t="s">
        <v>40</v>
      </c>
      <c r="B128" s="1">
        <v>0.10299999999999999</v>
      </c>
      <c r="D128">
        <f t="shared" si="11"/>
        <v>0.1300559</v>
      </c>
      <c r="E128">
        <f t="shared" si="10"/>
        <v>0.114777</v>
      </c>
    </row>
    <row r="129" spans="1:10">
      <c r="A129" t="s">
        <v>41</v>
      </c>
      <c r="B129" s="1">
        <v>0.16200000000000001</v>
      </c>
      <c r="D129">
        <f t="shared" si="11"/>
        <v>0.20529860000000003</v>
      </c>
      <c r="E129">
        <f t="shared" si="10"/>
        <v>0.19001970000000001</v>
      </c>
    </row>
    <row r="130" spans="1:10">
      <c r="A130" t="s">
        <v>42</v>
      </c>
      <c r="B130" s="1">
        <v>0.27900000000000003</v>
      </c>
      <c r="D130">
        <f t="shared" si="11"/>
        <v>0.35450870000000001</v>
      </c>
      <c r="E130">
        <f t="shared" si="10"/>
        <v>0.33922980000000003</v>
      </c>
    </row>
    <row r="131" spans="1:10">
      <c r="A131" t="s">
        <v>43</v>
      </c>
      <c r="B131" s="1">
        <v>0.29399999999999998</v>
      </c>
      <c r="D131">
        <f t="shared" si="11"/>
        <v>0.37363819999999998</v>
      </c>
      <c r="E131">
        <f t="shared" si="10"/>
        <v>0.35835929999999999</v>
      </c>
    </row>
    <row r="132" spans="1:10">
      <c r="A132" t="s">
        <v>44</v>
      </c>
      <c r="B132" s="1">
        <v>1.2999999999999999E-2</v>
      </c>
      <c r="D132">
        <f>($J$118*B132)-$J$119</f>
        <v>1.5278900000000002E-2</v>
      </c>
      <c r="E132">
        <f t="shared" si="10"/>
        <v>0</v>
      </c>
    </row>
    <row r="133" spans="1:10">
      <c r="A133" s="17"/>
      <c r="B133" s="13" t="s">
        <v>225</v>
      </c>
      <c r="C133" s="13"/>
      <c r="D133" s="5" t="s">
        <v>2</v>
      </c>
      <c r="E133" s="5" t="s">
        <v>19</v>
      </c>
    </row>
    <row r="134" spans="1:10">
      <c r="A134" s="17"/>
      <c r="B134" s="13"/>
      <c r="C134" s="13" t="s">
        <v>103</v>
      </c>
      <c r="D134" s="5" t="s">
        <v>18</v>
      </c>
      <c r="E134" s="5" t="s">
        <v>18</v>
      </c>
    </row>
    <row r="135" spans="1:10">
      <c r="A135" t="s">
        <v>75</v>
      </c>
      <c r="B135" s="1">
        <v>0.16800000000000001</v>
      </c>
      <c r="D135">
        <f>(B135*$J$149)-$J$150</f>
        <v>0.19663760000000002</v>
      </c>
      <c r="E135">
        <f>D135</f>
        <v>0.19663760000000002</v>
      </c>
    </row>
    <row r="136" spans="1:10">
      <c r="A136" t="s">
        <v>76</v>
      </c>
      <c r="B136" s="1">
        <v>0.224</v>
      </c>
      <c r="D136">
        <f t="shared" ref="D136:D159" si="12">(B136*$J$149)-$J$150</f>
        <v>0.27031680000000002</v>
      </c>
      <c r="E136">
        <f t="shared" ref="E136:E158" si="13">D136</f>
        <v>0.27031680000000002</v>
      </c>
    </row>
    <row r="137" spans="1:10">
      <c r="A137" t="s">
        <v>77</v>
      </c>
      <c r="B137" s="1">
        <v>0.68799999999999994</v>
      </c>
      <c r="D137">
        <f t="shared" si="12"/>
        <v>0.88080159999999996</v>
      </c>
      <c r="E137">
        <f t="shared" si="13"/>
        <v>0.88080159999999996</v>
      </c>
    </row>
    <row r="138" spans="1:10">
      <c r="A138" t="s">
        <v>78</v>
      </c>
      <c r="B138" s="1">
        <v>0.18</v>
      </c>
      <c r="D138">
        <f t="shared" si="12"/>
        <v>0.212426</v>
      </c>
      <c r="E138">
        <f t="shared" si="13"/>
        <v>0.212426</v>
      </c>
    </row>
    <row r="139" spans="1:10">
      <c r="A139" s="26" t="s">
        <v>79</v>
      </c>
      <c r="B139" s="1">
        <v>0.19900000000000001</v>
      </c>
      <c r="D139">
        <f t="shared" si="12"/>
        <v>0.2374243</v>
      </c>
      <c r="E139">
        <f t="shared" si="13"/>
        <v>0.2374243</v>
      </c>
      <c r="I139" s="65" t="s">
        <v>104</v>
      </c>
      <c r="J139" s="65"/>
    </row>
    <row r="140" spans="1:10">
      <c r="A140" t="s">
        <v>80</v>
      </c>
      <c r="B140" s="1">
        <v>0.13800000000000001</v>
      </c>
      <c r="D140">
        <f t="shared" si="12"/>
        <v>0.15716660000000002</v>
      </c>
      <c r="E140">
        <f t="shared" si="13"/>
        <v>0.15716660000000002</v>
      </c>
      <c r="I140" s="62" t="s">
        <v>17</v>
      </c>
      <c r="J140" s="63"/>
    </row>
    <row r="141" spans="1:10">
      <c r="A141" t="s">
        <v>81</v>
      </c>
      <c r="B141" s="1">
        <v>0.121</v>
      </c>
      <c r="D141">
        <f t="shared" si="12"/>
        <v>0.13479969999999999</v>
      </c>
      <c r="E141">
        <f t="shared" si="13"/>
        <v>0.13479969999999999</v>
      </c>
      <c r="I141" s="21">
        <v>0</v>
      </c>
      <c r="J141" s="16">
        <v>6.0000000000000001E-3</v>
      </c>
    </row>
    <row r="142" spans="1:10">
      <c r="A142" s="26" t="s">
        <v>82</v>
      </c>
      <c r="B142" s="1">
        <v>0.115</v>
      </c>
      <c r="D142">
        <f t="shared" si="12"/>
        <v>0.1269055</v>
      </c>
      <c r="E142">
        <f t="shared" si="13"/>
        <v>0.1269055</v>
      </c>
      <c r="I142" s="21">
        <v>0.1</v>
      </c>
      <c r="J142" s="16">
        <v>8.8999999999999996E-2</v>
      </c>
    </row>
    <row r="143" spans="1:10">
      <c r="A143" s="26" t="s">
        <v>83</v>
      </c>
      <c r="B143" s="1">
        <v>0.12</v>
      </c>
      <c r="D143">
        <f t="shared" si="12"/>
        <v>0.13348399999999999</v>
      </c>
      <c r="E143">
        <f t="shared" si="13"/>
        <v>0.13348399999999999</v>
      </c>
      <c r="I143" s="21">
        <v>0.2</v>
      </c>
      <c r="J143" s="16">
        <v>0.17699999999999999</v>
      </c>
    </row>
    <row r="144" spans="1:10">
      <c r="A144" t="s">
        <v>84</v>
      </c>
      <c r="B144" s="1">
        <v>0.246</v>
      </c>
      <c r="D144">
        <f t="shared" si="12"/>
        <v>0.29926220000000003</v>
      </c>
      <c r="E144">
        <f t="shared" si="13"/>
        <v>0.29926220000000003</v>
      </c>
      <c r="I144" s="21">
        <v>0.4</v>
      </c>
      <c r="J144" s="16">
        <v>0.34300000000000003</v>
      </c>
    </row>
    <row r="145" spans="1:10">
      <c r="A145" t="s">
        <v>85</v>
      </c>
      <c r="B145" s="1">
        <v>0.1</v>
      </c>
      <c r="D145">
        <f t="shared" si="12"/>
        <v>0.10717000000000002</v>
      </c>
      <c r="E145">
        <f t="shared" si="13"/>
        <v>0.10717000000000002</v>
      </c>
      <c r="I145" s="21">
        <v>0.6</v>
      </c>
      <c r="J145" s="16">
        <v>0.48199999999999998</v>
      </c>
    </row>
    <row r="146" spans="1:10">
      <c r="A146" t="s">
        <v>86</v>
      </c>
      <c r="B146" s="1">
        <v>0.21199999999999999</v>
      </c>
      <c r="D146">
        <f t="shared" si="12"/>
        <v>0.25452840000000004</v>
      </c>
      <c r="E146">
        <f t="shared" si="13"/>
        <v>0.25452840000000004</v>
      </c>
      <c r="I146" s="21">
        <v>0.8</v>
      </c>
      <c r="J146" s="16">
        <v>0.61799999999999999</v>
      </c>
    </row>
    <row r="147" spans="1:10">
      <c r="A147" t="s">
        <v>87</v>
      </c>
      <c r="B147" s="1">
        <v>0.315</v>
      </c>
      <c r="D147">
        <f t="shared" si="12"/>
        <v>0.39004550000000004</v>
      </c>
      <c r="E147">
        <f t="shared" si="13"/>
        <v>0.39004550000000004</v>
      </c>
      <c r="I147" s="21">
        <v>1</v>
      </c>
      <c r="J147" s="16">
        <v>0.77100000000000002</v>
      </c>
    </row>
    <row r="148" spans="1:10">
      <c r="A148" s="26" t="s">
        <v>88</v>
      </c>
      <c r="B148" s="1">
        <v>8.7999999999999995E-2</v>
      </c>
      <c r="D148">
        <f t="shared" si="12"/>
        <v>9.1381599999999993E-2</v>
      </c>
      <c r="E148">
        <f t="shared" si="13"/>
        <v>9.1381599999999993E-2</v>
      </c>
    </row>
    <row r="149" spans="1:10">
      <c r="A149" t="s">
        <v>89</v>
      </c>
      <c r="B149" s="1">
        <v>0.98899999999999999</v>
      </c>
      <c r="D149">
        <f t="shared" si="12"/>
        <v>1.2768273000000001</v>
      </c>
      <c r="E149">
        <f t="shared" si="13"/>
        <v>1.2768273000000001</v>
      </c>
      <c r="I149" s="5" t="s">
        <v>260</v>
      </c>
      <c r="J149">
        <v>1.3157000000000001</v>
      </c>
    </row>
    <row r="150" spans="1:10">
      <c r="A150" t="s">
        <v>90</v>
      </c>
      <c r="B150" s="1">
        <v>0.32600000000000001</v>
      </c>
      <c r="D150">
        <f t="shared" si="12"/>
        <v>0.40451820000000005</v>
      </c>
      <c r="E150">
        <f t="shared" si="13"/>
        <v>0.40451820000000005</v>
      </c>
      <c r="I150" s="5" t="s">
        <v>261</v>
      </c>
      <c r="J150">
        <v>2.4400000000000002E-2</v>
      </c>
    </row>
    <row r="151" spans="1:10">
      <c r="A151" t="s">
        <v>91</v>
      </c>
      <c r="B151" s="1">
        <v>0.25</v>
      </c>
      <c r="D151">
        <f t="shared" si="12"/>
        <v>0.30452500000000005</v>
      </c>
      <c r="E151">
        <f t="shared" si="13"/>
        <v>0.30452500000000005</v>
      </c>
    </row>
    <row r="152" spans="1:10">
      <c r="A152" t="s">
        <v>92</v>
      </c>
      <c r="B152" s="1">
        <v>8.7999999999999995E-2</v>
      </c>
      <c r="D152">
        <f t="shared" si="12"/>
        <v>9.1381599999999993E-2</v>
      </c>
      <c r="E152">
        <f t="shared" si="13"/>
        <v>9.1381599999999993E-2</v>
      </c>
    </row>
    <row r="153" spans="1:10">
      <c r="A153" t="s">
        <v>93</v>
      </c>
      <c r="B153" s="1">
        <v>0.156</v>
      </c>
      <c r="D153">
        <f t="shared" si="12"/>
        <v>0.18084920000000002</v>
      </c>
      <c r="E153">
        <f t="shared" si="13"/>
        <v>0.18084920000000002</v>
      </c>
    </row>
    <row r="154" spans="1:10">
      <c r="A154" t="s">
        <v>94</v>
      </c>
      <c r="B154" s="1">
        <v>0.49199999999999999</v>
      </c>
      <c r="D154">
        <f t="shared" si="12"/>
        <v>0.62292440000000004</v>
      </c>
      <c r="E154">
        <f t="shared" si="13"/>
        <v>0.62292440000000004</v>
      </c>
    </row>
    <row r="155" spans="1:10">
      <c r="A155" t="s">
        <v>95</v>
      </c>
      <c r="B155" s="1">
        <v>0.247</v>
      </c>
      <c r="D155">
        <f t="shared" si="12"/>
        <v>0.30057790000000006</v>
      </c>
      <c r="E155">
        <f t="shared" si="13"/>
        <v>0.30057790000000006</v>
      </c>
    </row>
    <row r="156" spans="1:10">
      <c r="A156" t="s">
        <v>96</v>
      </c>
      <c r="B156" s="1">
        <v>0.32300000000000001</v>
      </c>
      <c r="D156">
        <f t="shared" si="12"/>
        <v>0.40057110000000007</v>
      </c>
      <c r="E156">
        <f t="shared" si="13"/>
        <v>0.40057110000000007</v>
      </c>
    </row>
    <row r="157" spans="1:10">
      <c r="A157" t="s">
        <v>97</v>
      </c>
      <c r="B157" s="1">
        <v>0.29699999999999999</v>
      </c>
      <c r="D157">
        <f t="shared" si="12"/>
        <v>0.36636290000000005</v>
      </c>
      <c r="E157">
        <f t="shared" si="13"/>
        <v>0.36636290000000005</v>
      </c>
    </row>
    <row r="158" spans="1:10">
      <c r="A158" t="s">
        <v>98</v>
      </c>
      <c r="B158" s="1">
        <v>0.30199999999999999</v>
      </c>
      <c r="D158">
        <f t="shared" si="12"/>
        <v>0.37294140000000003</v>
      </c>
      <c r="E158">
        <f t="shared" si="13"/>
        <v>0.37294140000000003</v>
      </c>
    </row>
    <row r="159" spans="1:10">
      <c r="A159" t="s">
        <v>99</v>
      </c>
      <c r="B159" s="1">
        <v>7.0000000000000001E-3</v>
      </c>
      <c r="D159">
        <f t="shared" si="12"/>
        <v>-1.5190100000000002E-2</v>
      </c>
      <c r="E159">
        <v>0</v>
      </c>
    </row>
    <row r="161" spans="1:12">
      <c r="A161" s="17"/>
      <c r="B161" s="13" t="s">
        <v>226</v>
      </c>
      <c r="C161" s="13"/>
      <c r="D161" s="5" t="s">
        <v>2</v>
      </c>
      <c r="E161" s="5" t="s">
        <v>19</v>
      </c>
      <c r="I161" s="62" t="s">
        <v>230</v>
      </c>
      <c r="J161" s="66"/>
      <c r="K161" s="66"/>
      <c r="L161" s="63"/>
    </row>
    <row r="162" spans="1:12">
      <c r="A162" s="17"/>
      <c r="B162" s="13"/>
      <c r="C162" s="13" t="s">
        <v>103</v>
      </c>
      <c r="D162" s="5" t="s">
        <v>18</v>
      </c>
      <c r="E162" s="5" t="s">
        <v>18</v>
      </c>
      <c r="I162" s="64" t="s">
        <v>46</v>
      </c>
      <c r="J162" s="64"/>
      <c r="K162" s="62" t="s">
        <v>17</v>
      </c>
      <c r="L162" s="63"/>
    </row>
    <row r="163" spans="1:12">
      <c r="A163" t="s">
        <v>105</v>
      </c>
      <c r="B163" s="1">
        <v>0.52600000000000002</v>
      </c>
      <c r="D163">
        <f>(B163*$J$172)-$J$173</f>
        <v>0.60328300000000012</v>
      </c>
      <c r="E163">
        <f>D163-$D$187</f>
        <v>0.53023650000000011</v>
      </c>
      <c r="I163" s="21">
        <v>0</v>
      </c>
      <c r="J163" s="21">
        <v>1.6E-2</v>
      </c>
      <c r="K163" s="57">
        <v>0</v>
      </c>
      <c r="L163" s="15">
        <v>1.4999999999999999E-2</v>
      </c>
    </row>
    <row r="164" spans="1:12">
      <c r="A164" t="s">
        <v>106</v>
      </c>
      <c r="B164" s="1">
        <v>0.64800000000000002</v>
      </c>
      <c r="D164">
        <f t="shared" ref="D164:D173" si="14">(B164*$J$172)-$J$173</f>
        <v>0.74608400000000008</v>
      </c>
      <c r="E164">
        <f t="shared" ref="E164:E187" si="15">D164-$D$187</f>
        <v>0.67303750000000007</v>
      </c>
      <c r="I164" s="21">
        <v>0.1</v>
      </c>
      <c r="J164" s="21">
        <v>9.9000000000000005E-2</v>
      </c>
      <c r="K164" s="57">
        <v>0.1</v>
      </c>
      <c r="L164" s="15">
        <v>9.2999999999999999E-2</v>
      </c>
    </row>
    <row r="165" spans="1:12">
      <c r="A165" t="s">
        <v>107</v>
      </c>
      <c r="B165" s="1">
        <v>0.42499999999999999</v>
      </c>
      <c r="D165">
        <f t="shared" si="14"/>
        <v>0.48506250000000001</v>
      </c>
      <c r="E165">
        <f t="shared" si="15"/>
        <v>0.41201599999999999</v>
      </c>
      <c r="I165" s="21">
        <v>0.2</v>
      </c>
      <c r="J165" s="15">
        <v>0.20300000000000001</v>
      </c>
      <c r="K165" s="57">
        <v>0.2</v>
      </c>
      <c r="L165" s="16">
        <v>0.187</v>
      </c>
    </row>
    <row r="166" spans="1:12">
      <c r="A166" s="7" t="s">
        <v>108</v>
      </c>
      <c r="B166" s="11">
        <v>1.4259999999999999</v>
      </c>
      <c r="C166" s="11">
        <v>0.16600000000000001</v>
      </c>
      <c r="D166" s="7">
        <f>10*((C166*$J$172)-$J$173)</f>
        <v>1.8190300000000004</v>
      </c>
      <c r="E166" s="7">
        <f>D166-$D$187</f>
        <v>1.7459835000000004</v>
      </c>
      <c r="I166" s="21">
        <v>0.4</v>
      </c>
      <c r="J166" s="15">
        <v>0.35399999999999998</v>
      </c>
      <c r="K166" s="57">
        <v>0.4</v>
      </c>
      <c r="L166" s="16">
        <v>0.35299999999999998</v>
      </c>
    </row>
    <row r="167" spans="1:12">
      <c r="A167" t="s">
        <v>109</v>
      </c>
      <c r="B167" s="1">
        <v>0.17599999999999999</v>
      </c>
      <c r="D167">
        <f t="shared" si="14"/>
        <v>0.193608</v>
      </c>
      <c r="E167">
        <f t="shared" si="15"/>
        <v>0.12056149999999999</v>
      </c>
      <c r="I167" s="21">
        <v>0.6</v>
      </c>
      <c r="J167" s="15">
        <v>0.501</v>
      </c>
      <c r="K167" s="57">
        <v>0.6</v>
      </c>
      <c r="L167" s="34">
        <v>0.50700000000000001</v>
      </c>
    </row>
    <row r="168" spans="1:12">
      <c r="A168" t="s">
        <v>110</v>
      </c>
      <c r="B168" s="1">
        <v>0.105</v>
      </c>
      <c r="D168">
        <f t="shared" si="14"/>
        <v>0.11050250000000002</v>
      </c>
      <c r="E168">
        <f t="shared" si="15"/>
        <v>3.7456000000000003E-2</v>
      </c>
      <c r="I168" s="21">
        <v>0.8</v>
      </c>
      <c r="J168" s="15">
        <v>0.69399999999999995</v>
      </c>
      <c r="K168" s="57">
        <v>0.8</v>
      </c>
      <c r="L168" s="16">
        <v>0.69699999999999995</v>
      </c>
    </row>
    <row r="169" spans="1:12">
      <c r="A169" t="s">
        <v>111</v>
      </c>
      <c r="B169" s="1">
        <v>7.6999999999999999E-2</v>
      </c>
      <c r="D169">
        <f t="shared" si="14"/>
        <v>7.7728500000000006E-2</v>
      </c>
      <c r="E169">
        <f t="shared" si="15"/>
        <v>4.6819999999999917E-3</v>
      </c>
      <c r="I169" s="21">
        <v>1</v>
      </c>
      <c r="J169" s="15">
        <v>0.81299999999999994</v>
      </c>
      <c r="K169" s="57">
        <v>1</v>
      </c>
      <c r="L169" s="16">
        <v>0.871</v>
      </c>
    </row>
    <row r="170" spans="1:12">
      <c r="A170" t="s">
        <v>112</v>
      </c>
      <c r="B170" s="1">
        <v>0.73099999999999998</v>
      </c>
      <c r="D170">
        <f t="shared" si="14"/>
        <v>0.84323550000000014</v>
      </c>
      <c r="E170">
        <f t="shared" si="15"/>
        <v>0.77018900000000012</v>
      </c>
    </row>
    <row r="171" spans="1:12">
      <c r="A171" t="s">
        <v>113</v>
      </c>
      <c r="B171" s="1">
        <v>0.44700000000000001</v>
      </c>
      <c r="D171">
        <f t="shared" si="14"/>
        <v>0.51081350000000003</v>
      </c>
      <c r="E171">
        <f t="shared" si="15"/>
        <v>0.43776700000000002</v>
      </c>
    </row>
    <row r="172" spans="1:12">
      <c r="A172" s="24" t="s">
        <v>114</v>
      </c>
      <c r="B172" s="1">
        <v>0.54100000000000004</v>
      </c>
      <c r="D172">
        <f t="shared" si="14"/>
        <v>0.62084050000000013</v>
      </c>
      <c r="E172">
        <f t="shared" si="15"/>
        <v>0.54779400000000011</v>
      </c>
      <c r="I172" s="5" t="s">
        <v>260</v>
      </c>
      <c r="J172">
        <v>1.1705000000000001</v>
      </c>
    </row>
    <row r="173" spans="1:12">
      <c r="A173" s="24" t="s">
        <v>115</v>
      </c>
      <c r="B173" s="1">
        <v>0.92200000000000004</v>
      </c>
      <c r="D173">
        <f t="shared" si="14"/>
        <v>1.0668010000000001</v>
      </c>
      <c r="E173">
        <f t="shared" si="15"/>
        <v>0.9937545000000001</v>
      </c>
      <c r="I173" s="5" t="s">
        <v>261</v>
      </c>
      <c r="J173">
        <v>1.24E-2</v>
      </c>
    </row>
    <row r="174" spans="1:12">
      <c r="A174" s="7" t="s">
        <v>116</v>
      </c>
      <c r="B174" s="11">
        <v>1.9159999999999999</v>
      </c>
      <c r="C174" s="11">
        <v>0.25700000000000001</v>
      </c>
      <c r="D174" s="7">
        <f>10*((C174*$J$172)-$J$173)</f>
        <v>2.8841850000000004</v>
      </c>
      <c r="E174" s="7">
        <f>D174-$D$187</f>
        <v>2.8111385000000002</v>
      </c>
    </row>
    <row r="175" spans="1:12">
      <c r="A175" s="53" t="s">
        <v>117</v>
      </c>
      <c r="B175" s="11">
        <v>1.3380000000000001</v>
      </c>
      <c r="C175" s="11">
        <v>0.13400000000000001</v>
      </c>
      <c r="D175" s="7">
        <f>10*((C175*$J$172)-$J$173)</f>
        <v>1.4444700000000001</v>
      </c>
      <c r="E175" s="7">
        <f>D175-$D$187</f>
        <v>1.3714235000000001</v>
      </c>
    </row>
    <row r="176" spans="1:12">
      <c r="A176" t="s">
        <v>118</v>
      </c>
      <c r="B176" s="1">
        <v>0.92400000000000004</v>
      </c>
      <c r="D176">
        <f t="shared" ref="D176:D187" si="16">(B176*$J$172)-$J$173</f>
        <v>1.0691420000000003</v>
      </c>
      <c r="E176">
        <f t="shared" si="15"/>
        <v>0.99609550000000024</v>
      </c>
    </row>
    <row r="177" spans="1:11">
      <c r="A177" t="s">
        <v>119</v>
      </c>
      <c r="B177" s="1">
        <v>0.109</v>
      </c>
      <c r="D177">
        <f t="shared" si="16"/>
        <v>0.11518450000000002</v>
      </c>
      <c r="E177">
        <f t="shared" si="15"/>
        <v>4.2138000000000009E-2</v>
      </c>
    </row>
    <row r="178" spans="1:11">
      <c r="A178" t="s">
        <v>120</v>
      </c>
      <c r="B178" s="1">
        <v>0.17899999999999999</v>
      </c>
      <c r="D178">
        <f t="shared" si="16"/>
        <v>0.1971195</v>
      </c>
      <c r="E178">
        <f t="shared" si="15"/>
        <v>0.12407299999999999</v>
      </c>
    </row>
    <row r="179" spans="1:11">
      <c r="A179" t="s">
        <v>121</v>
      </c>
      <c r="B179" s="1">
        <v>0.45400000000000001</v>
      </c>
      <c r="D179">
        <f t="shared" si="16"/>
        <v>0.51900700000000011</v>
      </c>
      <c r="E179">
        <f t="shared" si="15"/>
        <v>0.44596050000000009</v>
      </c>
    </row>
    <row r="180" spans="1:11">
      <c r="A180" s="53" t="s">
        <v>122</v>
      </c>
      <c r="B180" s="11">
        <v>1.927</v>
      </c>
      <c r="C180" s="11">
        <v>0.44500000000000001</v>
      </c>
      <c r="D180" s="7">
        <f>10*((C180*$J$172)-$J$173)</f>
        <v>5.0847250000000006</v>
      </c>
      <c r="E180" s="7">
        <f>D180-$D$187</f>
        <v>5.0116785000000004</v>
      </c>
    </row>
    <row r="181" spans="1:11">
      <c r="A181" t="s">
        <v>123</v>
      </c>
      <c r="B181" s="1">
        <v>0.873</v>
      </c>
      <c r="D181">
        <f t="shared" si="16"/>
        <v>1.0094465000000001</v>
      </c>
      <c r="E181">
        <f t="shared" si="15"/>
        <v>0.93640000000000012</v>
      </c>
    </row>
    <row r="182" spans="1:11">
      <c r="A182" s="7" t="s">
        <v>124</v>
      </c>
      <c r="B182" s="11">
        <v>1.3420000000000001</v>
      </c>
      <c r="C182" s="11">
        <v>0.13700000000000001</v>
      </c>
      <c r="D182" s="7">
        <f>10*((C182*$J$172)-$J$173)</f>
        <v>1.4795850000000002</v>
      </c>
      <c r="E182" s="7">
        <f>D182-$D$187</f>
        <v>1.4065385000000001</v>
      </c>
    </row>
    <row r="183" spans="1:11">
      <c r="A183" t="s">
        <v>125</v>
      </c>
      <c r="B183" s="1">
        <v>0.249</v>
      </c>
      <c r="D183">
        <f t="shared" si="16"/>
        <v>0.27905449999999998</v>
      </c>
      <c r="E183">
        <f t="shared" si="15"/>
        <v>0.20600799999999997</v>
      </c>
    </row>
    <row r="184" spans="1:11">
      <c r="A184" t="s">
        <v>126</v>
      </c>
      <c r="B184" s="1">
        <v>0.129</v>
      </c>
      <c r="D184">
        <f t="shared" si="16"/>
        <v>0.13859450000000001</v>
      </c>
      <c r="E184">
        <f t="shared" si="15"/>
        <v>6.5547999999999995E-2</v>
      </c>
    </row>
    <row r="185" spans="1:11">
      <c r="A185" t="s">
        <v>127</v>
      </c>
      <c r="B185" s="1">
        <v>0.14899999999999999</v>
      </c>
      <c r="D185">
        <f t="shared" si="16"/>
        <v>0.16200450000000002</v>
      </c>
      <c r="E185">
        <f t="shared" si="15"/>
        <v>8.8958000000000009E-2</v>
      </c>
    </row>
    <row r="186" spans="1:11">
      <c r="A186" t="s">
        <v>128</v>
      </c>
      <c r="B186" s="1">
        <v>0.14599999999999999</v>
      </c>
      <c r="D186">
        <f t="shared" si="16"/>
        <v>0.15849300000000002</v>
      </c>
      <c r="E186">
        <f t="shared" si="15"/>
        <v>8.5446500000000009E-2</v>
      </c>
    </row>
    <row r="187" spans="1:11">
      <c r="A187" t="s">
        <v>129</v>
      </c>
      <c r="B187" s="1">
        <v>7.2999999999999995E-2</v>
      </c>
      <c r="D187">
        <f t="shared" si="16"/>
        <v>7.3046500000000014E-2</v>
      </c>
      <c r="E187">
        <f t="shared" si="15"/>
        <v>0</v>
      </c>
      <c r="I187" s="65" t="s">
        <v>230</v>
      </c>
      <c r="J187" s="65"/>
    </row>
    <row r="188" spans="1:11">
      <c r="A188" s="17"/>
      <c r="B188" s="13" t="s">
        <v>226</v>
      </c>
      <c r="C188" s="13"/>
      <c r="D188" s="5" t="s">
        <v>2</v>
      </c>
      <c r="E188" s="5" t="s">
        <v>19</v>
      </c>
      <c r="F188" s="44" t="s">
        <v>247</v>
      </c>
      <c r="I188" s="62" t="s">
        <v>17</v>
      </c>
      <c r="J188" s="63"/>
    </row>
    <row r="189" spans="1:11">
      <c r="A189" s="17"/>
      <c r="B189" s="13"/>
      <c r="C189" s="13" t="s">
        <v>103</v>
      </c>
      <c r="D189" s="5" t="s">
        <v>18</v>
      </c>
      <c r="E189" s="5" t="s">
        <v>18</v>
      </c>
      <c r="F189" s="44" t="s">
        <v>248</v>
      </c>
      <c r="I189" s="21">
        <v>0</v>
      </c>
      <c r="J189" s="16">
        <v>7.0000000000000001E-3</v>
      </c>
      <c r="K189" s="45"/>
    </row>
    <row r="190" spans="1:11">
      <c r="A190" s="7" t="s">
        <v>130</v>
      </c>
      <c r="B190" s="11">
        <v>1.8140000000000001</v>
      </c>
      <c r="C190" s="11">
        <v>0.215</v>
      </c>
      <c r="D190" s="36">
        <f>10*((C190*$J$197)-$J$198)</f>
        <v>2.5960349999999996</v>
      </c>
      <c r="E190" s="37">
        <f>D190-$D$214</f>
        <v>2.5836467999999995</v>
      </c>
      <c r="F190" s="38">
        <f>D$214/E190</f>
        <v>4.7948504416315723E-3</v>
      </c>
      <c r="I190" s="21">
        <v>0.1</v>
      </c>
      <c r="J190" s="16">
        <v>8.3000000000000004E-2</v>
      </c>
    </row>
    <row r="191" spans="1:11">
      <c r="A191" t="s">
        <v>131</v>
      </c>
      <c r="B191" s="1">
        <v>0.25900000000000001</v>
      </c>
      <c r="D191" s="37">
        <f>(B191*$J$197)-$J$198</f>
        <v>0.31481910000000002</v>
      </c>
      <c r="E191" s="37">
        <f t="shared" ref="E191:E214" si="17">D191-$D$214</f>
        <v>0.3024309</v>
      </c>
      <c r="F191" s="38">
        <f t="shared" ref="F191:F213" si="18">D$214/E191</f>
        <v>4.0962084231472365E-2</v>
      </c>
      <c r="I191" s="21">
        <v>0.2</v>
      </c>
      <c r="J191" s="16">
        <v>0.17199999999999999</v>
      </c>
    </row>
    <row r="192" spans="1:11">
      <c r="A192" t="s">
        <v>132</v>
      </c>
      <c r="B192" s="1">
        <v>0.308</v>
      </c>
      <c r="D192" s="37">
        <f>(B192*$J$197)-$J$198</f>
        <v>0.37630919999999995</v>
      </c>
      <c r="E192" s="37">
        <f t="shared" si="17"/>
        <v>0.36392099999999994</v>
      </c>
      <c r="F192" s="38">
        <f t="shared" si="18"/>
        <v>3.4040904482016694E-2</v>
      </c>
      <c r="I192" s="21">
        <v>0.4</v>
      </c>
      <c r="J192" s="16">
        <v>0.33200000000000002</v>
      </c>
    </row>
    <row r="193" spans="1:10">
      <c r="A193" s="35">
        <v>409</v>
      </c>
      <c r="B193" s="11">
        <v>1.1479999999999999</v>
      </c>
      <c r="C193" s="11">
        <v>0.115</v>
      </c>
      <c r="D193" s="36">
        <f>10*((C193*$J$197)-$J$198)</f>
        <v>1.341135</v>
      </c>
      <c r="E193" s="37">
        <f t="shared" si="17"/>
        <v>1.3287468</v>
      </c>
      <c r="F193" s="38">
        <f t="shared" si="18"/>
        <v>9.3232209477381207E-3</v>
      </c>
      <c r="I193" s="21">
        <v>0.6</v>
      </c>
      <c r="J193" s="16">
        <v>0.48299999999999998</v>
      </c>
    </row>
    <row r="194" spans="1:10">
      <c r="A194" t="s">
        <v>133</v>
      </c>
      <c r="B194" s="1">
        <v>0.13500000000000001</v>
      </c>
      <c r="D194" s="37">
        <f>(B194*$J$197)-$J$198</f>
        <v>0.15921150000000001</v>
      </c>
      <c r="E194" s="37">
        <f t="shared" si="17"/>
        <v>0.14682330000000002</v>
      </c>
      <c r="F194" s="38">
        <f t="shared" si="18"/>
        <v>8.437489145115247E-2</v>
      </c>
      <c r="I194" s="21">
        <v>0.8</v>
      </c>
      <c r="J194" s="16">
        <v>0.64600000000000002</v>
      </c>
    </row>
    <row r="195" spans="1:10">
      <c r="A195" t="s">
        <v>134</v>
      </c>
      <c r="B195" s="1">
        <v>0.505</v>
      </c>
      <c r="D195" s="37">
        <f t="shared" ref="D195:D214" si="19">(B195*$J$197)-$J$198</f>
        <v>0.62352449999999993</v>
      </c>
      <c r="E195" s="37">
        <f t="shared" si="17"/>
        <v>0.61113629999999997</v>
      </c>
      <c r="F195" s="38">
        <f t="shared" si="18"/>
        <v>2.0270764475944229E-2</v>
      </c>
      <c r="I195" s="21">
        <v>1</v>
      </c>
      <c r="J195" s="16">
        <v>0.80400000000000005</v>
      </c>
    </row>
    <row r="196" spans="1:10">
      <c r="A196" t="s">
        <v>135</v>
      </c>
      <c r="B196" s="1">
        <v>0.45200000000000001</v>
      </c>
      <c r="D196" s="37">
        <f t="shared" si="19"/>
        <v>0.55701480000000003</v>
      </c>
      <c r="E196" s="37">
        <f t="shared" si="17"/>
        <v>0.54462660000000007</v>
      </c>
      <c r="F196" s="38">
        <f t="shared" si="18"/>
        <v>2.2746226497200088E-2</v>
      </c>
    </row>
    <row r="197" spans="1:10">
      <c r="A197" t="s">
        <v>136</v>
      </c>
      <c r="B197" s="1">
        <v>0.35499999999999998</v>
      </c>
      <c r="D197" s="37">
        <f t="shared" si="19"/>
        <v>0.43528949999999994</v>
      </c>
      <c r="E197" s="37">
        <f t="shared" si="17"/>
        <v>0.42290129999999992</v>
      </c>
      <c r="F197" s="38">
        <f t="shared" si="18"/>
        <v>2.9293359940014366E-2</v>
      </c>
      <c r="I197" s="5" t="s">
        <v>260</v>
      </c>
      <c r="J197">
        <v>1.2548999999999999</v>
      </c>
    </row>
    <row r="198" spans="1:10">
      <c r="A198" s="7" t="s">
        <v>137</v>
      </c>
      <c r="B198" s="11">
        <v>1.0920000000000001</v>
      </c>
      <c r="C198" s="11">
        <v>0.109</v>
      </c>
      <c r="D198" s="36">
        <f>10*((C198*$J$197)-$J$198)</f>
        <v>1.2658409999999998</v>
      </c>
      <c r="E198" s="37">
        <f t="shared" si="17"/>
        <v>1.2534527999999998</v>
      </c>
      <c r="F198" s="38">
        <f t="shared" si="18"/>
        <v>9.8832600637215832E-3</v>
      </c>
      <c r="I198" s="5" t="s">
        <v>261</v>
      </c>
      <c r="J198">
        <v>1.0200000000000001E-2</v>
      </c>
    </row>
    <row r="199" spans="1:10">
      <c r="A199" t="s">
        <v>138</v>
      </c>
      <c r="B199" s="1">
        <v>0.19800000000000001</v>
      </c>
      <c r="D199" s="37">
        <f t="shared" si="19"/>
        <v>0.23827019999999999</v>
      </c>
      <c r="E199" s="37">
        <f t="shared" si="17"/>
        <v>0.225882</v>
      </c>
      <c r="F199" s="38">
        <f t="shared" si="18"/>
        <v>5.484367944324911E-2</v>
      </c>
    </row>
    <row r="200" spans="1:10">
      <c r="A200" t="s">
        <v>139</v>
      </c>
      <c r="B200" s="1">
        <v>0.19900000000000001</v>
      </c>
      <c r="D200" s="37">
        <f t="shared" si="19"/>
        <v>0.23952509999999999</v>
      </c>
      <c r="E200" s="37">
        <f t="shared" si="17"/>
        <v>0.2271369</v>
      </c>
      <c r="F200" s="38">
        <f t="shared" si="18"/>
        <v>5.4540675689419005E-2</v>
      </c>
    </row>
    <row r="201" spans="1:10">
      <c r="A201" s="7" t="s">
        <v>140</v>
      </c>
      <c r="B201" s="11">
        <v>1.9139999999999999</v>
      </c>
      <c r="C201" s="11">
        <v>0.254</v>
      </c>
      <c r="D201" s="36">
        <f>10*((C201*$J$197)-$J$198)</f>
        <v>3.0854460000000001</v>
      </c>
      <c r="E201" s="37">
        <f>D201-$D$214</f>
        <v>3.0730578</v>
      </c>
      <c r="F201" s="38">
        <f t="shared" si="18"/>
        <v>4.0312290904518603E-3</v>
      </c>
    </row>
    <row r="202" spans="1:10">
      <c r="A202" t="s">
        <v>141</v>
      </c>
      <c r="B202" s="1">
        <v>0.157</v>
      </c>
      <c r="D202" s="37">
        <f t="shared" si="19"/>
        <v>0.18681929999999997</v>
      </c>
      <c r="E202" s="37">
        <f t="shared" si="17"/>
        <v>0.17443109999999998</v>
      </c>
      <c r="F202" s="38">
        <f t="shared" si="18"/>
        <v>7.1020592084783021E-2</v>
      </c>
    </row>
    <row r="203" spans="1:10">
      <c r="A203" t="s">
        <v>142</v>
      </c>
      <c r="B203" s="1">
        <v>9.0999999999999998E-2</v>
      </c>
      <c r="D203" s="37">
        <f t="shared" si="19"/>
        <v>0.10399589999999999</v>
      </c>
      <c r="E203" s="37">
        <f t="shared" si="17"/>
        <v>9.1607699999999986E-2</v>
      </c>
      <c r="F203" s="38">
        <f t="shared" si="18"/>
        <v>0.13523099040801151</v>
      </c>
    </row>
    <row r="204" spans="1:10">
      <c r="A204" t="s">
        <v>143</v>
      </c>
      <c r="B204" s="1">
        <v>0.1</v>
      </c>
      <c r="D204" s="37">
        <f t="shared" si="19"/>
        <v>0.11528999999999999</v>
      </c>
      <c r="E204" s="37">
        <f t="shared" si="17"/>
        <v>0.10290179999999999</v>
      </c>
      <c r="F204" s="38">
        <f t="shared" si="18"/>
        <v>0.12038856463152245</v>
      </c>
    </row>
    <row r="205" spans="1:10">
      <c r="A205" t="s">
        <v>144</v>
      </c>
      <c r="B205" s="1">
        <v>0.40799999999999997</v>
      </c>
      <c r="D205" s="37">
        <f t="shared" si="19"/>
        <v>0.50179919999999989</v>
      </c>
      <c r="E205" s="37">
        <f t="shared" si="17"/>
        <v>0.48941099999999987</v>
      </c>
      <c r="F205" s="38">
        <f t="shared" si="18"/>
        <v>2.5312467435345747E-2</v>
      </c>
    </row>
    <row r="206" spans="1:10">
      <c r="A206" t="s">
        <v>145</v>
      </c>
      <c r="B206" s="1">
        <v>0.34</v>
      </c>
      <c r="D206" s="37">
        <f t="shared" si="19"/>
        <v>0.416466</v>
      </c>
      <c r="E206" s="37">
        <f>D206-$D$214</f>
        <v>0.40407779999999999</v>
      </c>
      <c r="F206" s="38">
        <f t="shared" si="18"/>
        <v>3.065795745274795E-2</v>
      </c>
    </row>
    <row r="207" spans="1:10">
      <c r="A207" t="s">
        <v>146</v>
      </c>
      <c r="B207" s="1">
        <v>0.26</v>
      </c>
      <c r="D207" s="37">
        <f t="shared" si="19"/>
        <v>0.31607400000000002</v>
      </c>
      <c r="E207" s="37">
        <f t="shared" si="17"/>
        <v>0.30368580000000001</v>
      </c>
      <c r="F207" s="38">
        <f t="shared" si="18"/>
        <v>4.0792819420598508E-2</v>
      </c>
    </row>
    <row r="208" spans="1:10">
      <c r="A208" t="s">
        <v>147</v>
      </c>
      <c r="B208" s="1">
        <v>0.125</v>
      </c>
      <c r="D208" s="37">
        <f t="shared" si="19"/>
        <v>0.14666249999999997</v>
      </c>
      <c r="E208" s="37">
        <f t="shared" si="17"/>
        <v>0.13427429999999999</v>
      </c>
      <c r="F208" s="38">
        <f t="shared" si="18"/>
        <v>9.2260395325091962E-2</v>
      </c>
    </row>
    <row r="209" spans="1:10">
      <c r="A209" t="s">
        <v>148</v>
      </c>
      <c r="B209" s="1">
        <v>0.19</v>
      </c>
      <c r="D209" s="37">
        <f t="shared" si="19"/>
        <v>0.22823099999999996</v>
      </c>
      <c r="E209" s="37">
        <f t="shared" si="17"/>
        <v>0.21584279999999997</v>
      </c>
      <c r="F209" s="38">
        <f t="shared" si="18"/>
        <v>5.7394548254563027E-2</v>
      </c>
    </row>
    <row r="210" spans="1:10">
      <c r="A210" t="s">
        <v>149</v>
      </c>
      <c r="B210" s="1">
        <v>9.6000000000000002E-2</v>
      </c>
      <c r="D210" s="37">
        <f t="shared" si="19"/>
        <v>0.11027039999999999</v>
      </c>
      <c r="E210" s="37">
        <f t="shared" si="17"/>
        <v>9.7882200000000003E-2</v>
      </c>
      <c r="F210" s="38">
        <f t="shared" si="18"/>
        <v>0.12656233717672871</v>
      </c>
    </row>
    <row r="211" spans="1:10">
      <c r="A211" t="s">
        <v>150</v>
      </c>
      <c r="B211" s="1">
        <v>4.3999999999999997E-2</v>
      </c>
      <c r="D211" s="37">
        <f t="shared" si="19"/>
        <v>4.5015599999999989E-2</v>
      </c>
      <c r="E211" s="37">
        <f t="shared" si="17"/>
        <v>3.2627399999999994E-2</v>
      </c>
      <c r="F211" s="38">
        <f t="shared" si="18"/>
        <v>0.37968701153018619</v>
      </c>
    </row>
    <row r="212" spans="1:10">
      <c r="A212" t="s">
        <v>151</v>
      </c>
      <c r="B212" s="1">
        <v>0.12</v>
      </c>
      <c r="D212" s="37">
        <f t="shared" si="19"/>
        <v>0.14038799999999996</v>
      </c>
      <c r="E212" s="37">
        <f t="shared" si="17"/>
        <v>0.12799979999999997</v>
      </c>
      <c r="F212" s="38">
        <f t="shared" si="18"/>
        <v>9.6782963723380799E-2</v>
      </c>
      <c r="G212">
        <v>5.2999999999999999E-2</v>
      </c>
    </row>
    <row r="213" spans="1:10">
      <c r="A213" t="s">
        <v>152</v>
      </c>
      <c r="B213" s="1">
        <v>0.122</v>
      </c>
      <c r="D213" s="37">
        <f t="shared" si="19"/>
        <v>0.14289779999999996</v>
      </c>
      <c r="E213" s="37">
        <f t="shared" si="17"/>
        <v>0.13050959999999998</v>
      </c>
      <c r="F213" s="38">
        <f t="shared" si="18"/>
        <v>9.4921752882546548E-2</v>
      </c>
    </row>
    <row r="214" spans="1:10">
      <c r="A214" t="s">
        <v>153</v>
      </c>
      <c r="B214" s="1">
        <v>1.7999999999999999E-2</v>
      </c>
      <c r="D214" s="37">
        <f t="shared" si="19"/>
        <v>1.2388199999999995E-2</v>
      </c>
      <c r="E214" s="37">
        <f t="shared" si="17"/>
        <v>0</v>
      </c>
      <c r="F214" s="38"/>
    </row>
    <row r="215" spans="1:10">
      <c r="A215" s="17"/>
      <c r="B215" s="13" t="s">
        <v>227</v>
      </c>
      <c r="C215" s="13"/>
      <c r="D215" s="5" t="s">
        <v>2</v>
      </c>
      <c r="E215" s="5" t="s">
        <v>19</v>
      </c>
      <c r="I215" s="65" t="s">
        <v>232</v>
      </c>
      <c r="J215" s="65"/>
    </row>
    <row r="216" spans="1:10">
      <c r="A216" s="17"/>
      <c r="B216" s="13"/>
      <c r="C216" s="13" t="s">
        <v>103</v>
      </c>
      <c r="D216" s="5" t="s">
        <v>18</v>
      </c>
      <c r="E216" s="5" t="s">
        <v>18</v>
      </c>
      <c r="F216" t="s">
        <v>231</v>
      </c>
      <c r="G216" t="s">
        <v>262</v>
      </c>
      <c r="I216" s="62" t="s">
        <v>17</v>
      </c>
      <c r="J216" s="63"/>
    </row>
    <row r="217" spans="1:10">
      <c r="A217" t="s">
        <v>154</v>
      </c>
      <c r="B217" s="1">
        <v>0.126</v>
      </c>
      <c r="D217" s="37">
        <f>(B217*$J$225)-$J$226</f>
        <v>0.13896539999999999</v>
      </c>
      <c r="E217" s="37">
        <f>D217-$D$241</f>
        <v>0.12528999999999998</v>
      </c>
      <c r="G217" s="59"/>
      <c r="I217" s="57">
        <v>0</v>
      </c>
      <c r="J217" s="16">
        <v>5.0000000000000001E-3</v>
      </c>
    </row>
    <row r="218" spans="1:10">
      <c r="A218" t="s">
        <v>155</v>
      </c>
      <c r="B218" s="13">
        <v>0.161</v>
      </c>
      <c r="C218" s="13"/>
      <c r="D218" s="37">
        <f t="shared" ref="D218:D221" si="20">(B218*$J$225)-$J$226</f>
        <v>0.18281689999999998</v>
      </c>
      <c r="E218" s="37">
        <f t="shared" ref="E218:E241" si="21">D218-$D$241</f>
        <v>0.16914149999999997</v>
      </c>
      <c r="G218" s="59"/>
      <c r="I218" s="57">
        <v>0.1</v>
      </c>
      <c r="J218" s="16">
        <v>9.2999999999999999E-2</v>
      </c>
    </row>
    <row r="219" spans="1:10">
      <c r="A219" t="s">
        <v>156</v>
      </c>
      <c r="B219" s="1">
        <v>0.27700000000000002</v>
      </c>
      <c r="D219" s="37">
        <f t="shared" si="20"/>
        <v>0.32815329999999998</v>
      </c>
      <c r="E219" s="37">
        <f t="shared" si="21"/>
        <v>0.31447789999999998</v>
      </c>
      <c r="G219" s="59"/>
      <c r="I219" s="57">
        <v>0.2</v>
      </c>
      <c r="J219" s="16">
        <v>0.17799999999999999</v>
      </c>
    </row>
    <row r="220" spans="1:10">
      <c r="A220" s="52" t="s">
        <v>157</v>
      </c>
      <c r="B220" s="12">
        <v>1.9830000000000001</v>
      </c>
      <c r="C220" s="12">
        <v>1.625</v>
      </c>
      <c r="D220" s="36">
        <f>100*((F220*$J$225)-$J$226)</f>
        <v>18.90814</v>
      </c>
      <c r="E220" s="37">
        <f t="shared" si="21"/>
        <v>18.894464599999999</v>
      </c>
      <c r="F220" s="7">
        <v>0.16600000000000001</v>
      </c>
      <c r="G220" s="60">
        <v>0.32500000000000001</v>
      </c>
      <c r="I220" s="57">
        <v>0.4</v>
      </c>
      <c r="J220" s="16">
        <v>0.33900000000000002</v>
      </c>
    </row>
    <row r="221" spans="1:10">
      <c r="A221" t="s">
        <v>158</v>
      </c>
      <c r="B221" s="1">
        <v>0.88800000000000001</v>
      </c>
      <c r="D221" s="37">
        <f t="shared" si="20"/>
        <v>1.0936752000000001</v>
      </c>
      <c r="E221" s="37">
        <f t="shared" si="21"/>
        <v>1.0799998000000002</v>
      </c>
      <c r="G221" s="59"/>
      <c r="I221" s="57">
        <v>0.6</v>
      </c>
      <c r="J221" s="34">
        <v>0.51</v>
      </c>
    </row>
    <row r="222" spans="1:10">
      <c r="A222" t="s">
        <v>159</v>
      </c>
      <c r="B222" s="11">
        <v>1.7070000000000001</v>
      </c>
      <c r="C222" s="11">
        <v>0.32300000000000001</v>
      </c>
      <c r="D222" s="36">
        <f>((C222*$J$225)-$J$226)*10</f>
        <v>3.8578669999999993</v>
      </c>
      <c r="E222" s="37">
        <f t="shared" si="21"/>
        <v>3.8441915999999994</v>
      </c>
      <c r="F222" s="7"/>
      <c r="G222" s="59"/>
      <c r="I222" s="57">
        <v>0.8</v>
      </c>
      <c r="J222" s="16">
        <v>0.65800000000000003</v>
      </c>
    </row>
    <row r="223" spans="1:10">
      <c r="A223" t="s">
        <v>160</v>
      </c>
      <c r="B223" s="11">
        <v>1.6379999999999999</v>
      </c>
      <c r="C223" s="11">
        <v>0.3</v>
      </c>
      <c r="D223" s="36">
        <f>((C223*$J$225)-$J$226)*10</f>
        <v>3.5697000000000001</v>
      </c>
      <c r="E223" s="37">
        <f t="shared" si="21"/>
        <v>3.5560246000000002</v>
      </c>
      <c r="F223" s="7"/>
      <c r="G223" s="59"/>
      <c r="I223" s="57">
        <v>1</v>
      </c>
      <c r="J223" s="16">
        <v>0.79700000000000004</v>
      </c>
    </row>
    <row r="224" spans="1:10">
      <c r="A224" t="s">
        <v>161</v>
      </c>
      <c r="B224" s="1">
        <v>0.74099999999999999</v>
      </c>
      <c r="D224" s="37">
        <f t="shared" ref="D224:D225" si="22">(B224*$J$225)-$J$226</f>
        <v>0.90949889999999989</v>
      </c>
      <c r="E224" s="37">
        <f t="shared" si="21"/>
        <v>0.89582349999999988</v>
      </c>
      <c r="G224" s="59"/>
    </row>
    <row r="225" spans="1:10">
      <c r="A225" t="s">
        <v>162</v>
      </c>
      <c r="B225" s="1">
        <v>0.42</v>
      </c>
      <c r="D225" s="37">
        <f t="shared" si="22"/>
        <v>0.50731799999999994</v>
      </c>
      <c r="E225" s="37">
        <f t="shared" si="21"/>
        <v>0.49364259999999993</v>
      </c>
      <c r="G225" s="59"/>
      <c r="I225" s="5" t="s">
        <v>260</v>
      </c>
      <c r="J225">
        <v>1.2528999999999999</v>
      </c>
    </row>
    <row r="226" spans="1:10">
      <c r="A226" t="s">
        <v>163</v>
      </c>
      <c r="B226" s="11">
        <v>1.974</v>
      </c>
      <c r="C226" s="11">
        <v>0.443</v>
      </c>
      <c r="D226" s="36">
        <f>((C226*$J$225)-$J$226)*10</f>
        <v>5.3613469999999994</v>
      </c>
      <c r="E226" s="37">
        <f t="shared" si="21"/>
        <v>5.3476715999999991</v>
      </c>
      <c r="F226" s="7"/>
      <c r="G226" s="59"/>
      <c r="I226" s="5" t="s">
        <v>261</v>
      </c>
      <c r="J226">
        <v>1.89E-2</v>
      </c>
    </row>
    <row r="227" spans="1:10">
      <c r="A227" t="s">
        <v>164</v>
      </c>
      <c r="B227" s="1">
        <v>0.747</v>
      </c>
      <c r="D227" s="37">
        <f t="shared" ref="D227:D241" si="23">(B227*$J$225)-$J$226</f>
        <v>0.9170162999999999</v>
      </c>
      <c r="E227" s="37">
        <f t="shared" si="21"/>
        <v>0.90334089999999989</v>
      </c>
      <c r="G227" s="59"/>
    </row>
    <row r="228" spans="1:10">
      <c r="A228" t="s">
        <v>165</v>
      </c>
      <c r="B228" s="1">
        <v>0.49</v>
      </c>
      <c r="D228" s="37">
        <f t="shared" si="23"/>
        <v>0.59502099999999991</v>
      </c>
      <c r="E228" s="37">
        <f t="shared" si="21"/>
        <v>0.58134559999999991</v>
      </c>
      <c r="G228" s="59"/>
    </row>
    <row r="229" spans="1:10">
      <c r="A229" t="s">
        <v>166</v>
      </c>
      <c r="B229" s="1">
        <v>0.42099999999999999</v>
      </c>
      <c r="D229" s="37">
        <f t="shared" si="23"/>
        <v>0.50857089999999994</v>
      </c>
      <c r="E229" s="37">
        <f t="shared" si="21"/>
        <v>0.49489549999999993</v>
      </c>
      <c r="G229" s="59"/>
    </row>
    <row r="230" spans="1:10">
      <c r="A230" t="s">
        <v>167</v>
      </c>
      <c r="B230" s="1">
        <v>0.13700000000000001</v>
      </c>
      <c r="D230" s="37">
        <f t="shared" si="23"/>
        <v>0.1527473</v>
      </c>
      <c r="E230" s="37">
        <f t="shared" si="21"/>
        <v>0.1390719</v>
      </c>
      <c r="G230" s="59"/>
    </row>
    <row r="231" spans="1:10">
      <c r="A231" t="s">
        <v>168</v>
      </c>
      <c r="B231" s="1">
        <v>0.245</v>
      </c>
      <c r="D231" s="37">
        <f t="shared" si="23"/>
        <v>0.28806049999999994</v>
      </c>
      <c r="E231" s="37">
        <f t="shared" si="21"/>
        <v>0.27438509999999994</v>
      </c>
      <c r="G231" s="59"/>
      <c r="J231" s="36"/>
    </row>
    <row r="232" spans="1:10">
      <c r="A232" t="s">
        <v>169</v>
      </c>
      <c r="B232" s="11">
        <v>1.355</v>
      </c>
      <c r="C232" s="11">
        <v>0.27</v>
      </c>
      <c r="D232" s="36">
        <f>((C232*$J$225)-$J$226)*10</f>
        <v>3.1938299999999997</v>
      </c>
      <c r="E232" s="37">
        <f t="shared" si="21"/>
        <v>3.1801545999999998</v>
      </c>
      <c r="F232" s="7"/>
      <c r="G232" s="59"/>
    </row>
    <row r="233" spans="1:10">
      <c r="A233" t="s">
        <v>170</v>
      </c>
      <c r="B233" s="1">
        <v>0.42599999999999999</v>
      </c>
      <c r="D233" s="37">
        <f t="shared" si="23"/>
        <v>0.51483539999999994</v>
      </c>
      <c r="E233" s="37">
        <f t="shared" si="21"/>
        <v>0.50115999999999994</v>
      </c>
      <c r="G233" s="59"/>
    </row>
    <row r="234" spans="1:10">
      <c r="A234" t="s">
        <v>171</v>
      </c>
      <c r="B234" s="1">
        <v>0.42099999999999999</v>
      </c>
      <c r="D234" s="37">
        <f t="shared" si="23"/>
        <v>0.50857089999999994</v>
      </c>
      <c r="E234" s="37">
        <f t="shared" si="21"/>
        <v>0.49489549999999993</v>
      </c>
      <c r="G234" s="59"/>
    </row>
    <row r="235" spans="1:10">
      <c r="A235" t="s">
        <v>172</v>
      </c>
      <c r="B235" s="1">
        <v>0.128</v>
      </c>
      <c r="D235" s="37">
        <f t="shared" si="23"/>
        <v>0.14147119999999999</v>
      </c>
      <c r="E235" s="37">
        <f t="shared" si="21"/>
        <v>0.12779579999999999</v>
      </c>
      <c r="G235" s="59"/>
    </row>
    <row r="236" spans="1:10">
      <c r="A236" t="s">
        <v>173</v>
      </c>
      <c r="B236" s="1">
        <v>0.129</v>
      </c>
      <c r="D236" s="37">
        <f t="shared" si="23"/>
        <v>0.14272409999999999</v>
      </c>
      <c r="E236" s="37">
        <f t="shared" si="21"/>
        <v>0.12904869999999999</v>
      </c>
      <c r="G236" s="59"/>
    </row>
    <row r="237" spans="1:10">
      <c r="A237" t="s">
        <v>174</v>
      </c>
      <c r="B237" s="1">
        <v>0.13700000000000001</v>
      </c>
      <c r="D237" s="37">
        <f t="shared" si="23"/>
        <v>0.1527473</v>
      </c>
      <c r="E237" s="37">
        <f t="shared" si="21"/>
        <v>0.1390719</v>
      </c>
      <c r="G237" s="59"/>
    </row>
    <row r="238" spans="1:10">
      <c r="A238" t="s">
        <v>175</v>
      </c>
      <c r="B238" s="1">
        <v>0.13</v>
      </c>
      <c r="D238" s="37">
        <f t="shared" si="23"/>
        <v>0.14397699999999999</v>
      </c>
      <c r="E238" s="37">
        <f t="shared" si="21"/>
        <v>0.13030159999999999</v>
      </c>
      <c r="G238" s="59"/>
    </row>
    <row r="239" spans="1:10">
      <c r="A239" t="s">
        <v>176</v>
      </c>
      <c r="B239" s="1">
        <v>0.13500000000000001</v>
      </c>
      <c r="D239" s="37">
        <f t="shared" si="23"/>
        <v>0.1502415</v>
      </c>
      <c r="E239" s="37">
        <f t="shared" si="21"/>
        <v>0.1365661</v>
      </c>
      <c r="G239" s="59"/>
    </row>
    <row r="240" spans="1:10">
      <c r="A240" t="s">
        <v>177</v>
      </c>
      <c r="B240" s="1">
        <v>0.14299999999999999</v>
      </c>
      <c r="D240" s="37">
        <f t="shared" si="23"/>
        <v>0.16026469999999998</v>
      </c>
      <c r="E240" s="37">
        <f t="shared" si="21"/>
        <v>0.14658929999999998</v>
      </c>
      <c r="G240" s="59"/>
    </row>
    <row r="241" spans="1:10">
      <c r="A241" s="46" t="s">
        <v>178</v>
      </c>
      <c r="B241" s="47">
        <v>2.5999999999999999E-2</v>
      </c>
      <c r="C241" s="47"/>
      <c r="D241" s="37">
        <f t="shared" si="23"/>
        <v>1.3675399999999997E-2</v>
      </c>
      <c r="E241" s="37">
        <f t="shared" si="21"/>
        <v>0</v>
      </c>
      <c r="F241" s="46"/>
      <c r="G241" s="59"/>
    </row>
    <row r="242" spans="1:10">
      <c r="A242" s="17"/>
      <c r="B242" s="13" t="s">
        <v>228</v>
      </c>
      <c r="C242" s="13"/>
      <c r="D242" s="5" t="s">
        <v>2</v>
      </c>
      <c r="E242" s="5" t="s">
        <v>19</v>
      </c>
      <c r="G242" s="38"/>
    </row>
    <row r="243" spans="1:10">
      <c r="A243" s="17"/>
      <c r="B243" s="13"/>
      <c r="C243" s="13" t="s">
        <v>103</v>
      </c>
      <c r="D243" s="5" t="s">
        <v>18</v>
      </c>
      <c r="E243" s="5" t="s">
        <v>18</v>
      </c>
      <c r="G243" s="38"/>
    </row>
    <row r="244" spans="1:10">
      <c r="A244" t="s">
        <v>179</v>
      </c>
      <c r="B244" s="1">
        <v>0.29199999999999998</v>
      </c>
      <c r="D244">
        <f>(B244*$H$256)-$H$257</f>
        <v>0.3555528</v>
      </c>
      <c r="E244" s="54">
        <f>D244</f>
        <v>0.3555528</v>
      </c>
      <c r="G244" s="38"/>
    </row>
    <row r="245" spans="1:10">
      <c r="A245" t="s">
        <v>180</v>
      </c>
      <c r="B245" s="1">
        <v>0.2</v>
      </c>
      <c r="D245">
        <f t="shared" ref="D245:D268" si="24">(B245*$H$256)-$H$257</f>
        <v>0.23748000000000002</v>
      </c>
      <c r="E245" s="54">
        <f t="shared" ref="E245:E268" si="25">D245</f>
        <v>0.23748000000000002</v>
      </c>
      <c r="G245" s="38"/>
    </row>
    <row r="246" spans="1:10">
      <c r="A246" t="s">
        <v>181</v>
      </c>
      <c r="B246" s="1">
        <v>0.111</v>
      </c>
      <c r="D246">
        <f t="shared" si="24"/>
        <v>0.12325740000000002</v>
      </c>
      <c r="E246" s="54">
        <f t="shared" si="25"/>
        <v>0.12325740000000002</v>
      </c>
      <c r="G246" s="62" t="s">
        <v>233</v>
      </c>
      <c r="H246" s="66"/>
      <c r="I246" s="66"/>
      <c r="J246" s="63"/>
    </row>
    <row r="247" spans="1:10">
      <c r="A247" t="s">
        <v>182</v>
      </c>
      <c r="B247" s="1">
        <v>1.1879999999999999</v>
      </c>
      <c r="D247">
        <f t="shared" si="24"/>
        <v>1.5054791999999999</v>
      </c>
      <c r="E247" s="54">
        <f t="shared" si="25"/>
        <v>1.5054791999999999</v>
      </c>
      <c r="G247" s="64" t="s">
        <v>46</v>
      </c>
      <c r="H247" s="64"/>
      <c r="I247" s="62" t="s">
        <v>17</v>
      </c>
      <c r="J247" s="63"/>
    </row>
    <row r="248" spans="1:10">
      <c r="A248" t="s">
        <v>183</v>
      </c>
      <c r="B248" s="1">
        <v>0.20100000000000001</v>
      </c>
      <c r="D248">
        <f t="shared" si="24"/>
        <v>0.23876340000000001</v>
      </c>
      <c r="E248" s="54">
        <f t="shared" si="25"/>
        <v>0.23876340000000001</v>
      </c>
      <c r="G248" s="57">
        <v>0</v>
      </c>
      <c r="H248" s="21">
        <v>5.0000000000000001E-3</v>
      </c>
      <c r="I248" s="57">
        <v>0</v>
      </c>
      <c r="J248" s="15">
        <v>6.0000000000000001E-3</v>
      </c>
    </row>
    <row r="249" spans="1:10">
      <c r="A249" t="s">
        <v>184</v>
      </c>
      <c r="B249" s="1">
        <v>0.47299999999999998</v>
      </c>
      <c r="D249">
        <f t="shared" si="24"/>
        <v>0.58784820000000004</v>
      </c>
      <c r="E249" s="54">
        <f t="shared" si="25"/>
        <v>0.58784820000000004</v>
      </c>
      <c r="G249" s="57">
        <v>0.1</v>
      </c>
      <c r="H249" s="21">
        <v>8.7999999999999995E-2</v>
      </c>
      <c r="I249" s="57">
        <v>0.1</v>
      </c>
      <c r="J249" s="15">
        <v>9.7000000000000003E-2</v>
      </c>
    </row>
    <row r="250" spans="1:10">
      <c r="A250" s="7" t="s">
        <v>185</v>
      </c>
      <c r="B250" s="11"/>
      <c r="C250" s="11">
        <v>0.17799999999999999</v>
      </c>
      <c r="D250" s="7">
        <f>((C250*$H$256)-$H$257)*10</f>
        <v>2.0924520000000002</v>
      </c>
      <c r="E250" s="54">
        <f t="shared" si="25"/>
        <v>2.0924520000000002</v>
      </c>
      <c r="G250" s="57">
        <v>0.2</v>
      </c>
      <c r="H250" s="15">
        <v>0.17699999999999999</v>
      </c>
      <c r="I250" s="57">
        <v>0.2</v>
      </c>
      <c r="J250" s="16">
        <v>0.17399999999999999</v>
      </c>
    </row>
    <row r="251" spans="1:10">
      <c r="A251" t="s">
        <v>186</v>
      </c>
      <c r="B251" s="1">
        <v>0.26200000000000001</v>
      </c>
      <c r="D251">
        <f t="shared" si="24"/>
        <v>0.31705080000000002</v>
      </c>
      <c r="E251" s="54">
        <f t="shared" si="25"/>
        <v>0.31705080000000002</v>
      </c>
      <c r="G251" s="57">
        <v>0.4</v>
      </c>
      <c r="H251" s="15">
        <v>0.33500000000000002</v>
      </c>
      <c r="I251" s="57">
        <v>0.4</v>
      </c>
      <c r="J251" s="16">
        <v>0.33</v>
      </c>
    </row>
    <row r="252" spans="1:10">
      <c r="A252" t="s">
        <v>187</v>
      </c>
      <c r="B252" s="1">
        <v>0.42499999999999999</v>
      </c>
      <c r="D252">
        <f t="shared" si="24"/>
        <v>0.52624500000000007</v>
      </c>
      <c r="E252" s="54">
        <f t="shared" si="25"/>
        <v>0.52624500000000007</v>
      </c>
      <c r="G252" s="57">
        <v>0.6</v>
      </c>
      <c r="H252" s="15">
        <v>0.49</v>
      </c>
      <c r="I252" s="57">
        <v>0.6</v>
      </c>
      <c r="J252" s="16">
        <v>0.48399999999999999</v>
      </c>
    </row>
    <row r="253" spans="1:10">
      <c r="A253" s="7" t="s">
        <v>188</v>
      </c>
      <c r="B253" s="11"/>
      <c r="C253" s="11">
        <v>0.308</v>
      </c>
      <c r="D253" s="7">
        <f>((C253*$H$256)-$H$257)*10</f>
        <v>3.760872</v>
      </c>
      <c r="E253" s="54">
        <f t="shared" si="25"/>
        <v>3.760872</v>
      </c>
      <c r="G253" s="57">
        <v>0.8</v>
      </c>
      <c r="H253" s="15">
        <v>0.626</v>
      </c>
      <c r="I253" s="57">
        <v>0.8</v>
      </c>
      <c r="J253" s="16">
        <v>0.63900000000000001</v>
      </c>
    </row>
    <row r="254" spans="1:10">
      <c r="A254" t="s">
        <v>189</v>
      </c>
      <c r="B254" s="1">
        <v>0.64600000000000002</v>
      </c>
      <c r="D254">
        <f t="shared" si="24"/>
        <v>0.80987640000000005</v>
      </c>
      <c r="E254" s="54">
        <f t="shared" si="25"/>
        <v>0.80987640000000005</v>
      </c>
      <c r="G254" s="57">
        <v>1</v>
      </c>
      <c r="H254" s="15">
        <v>0.79300000000000004</v>
      </c>
      <c r="I254" s="57">
        <v>1</v>
      </c>
      <c r="J254" s="16">
        <v>0.79</v>
      </c>
    </row>
    <row r="255" spans="1:10">
      <c r="A255" t="s">
        <v>190</v>
      </c>
      <c r="B255" s="1">
        <v>7.6999999999999999E-2</v>
      </c>
      <c r="D255">
        <f t="shared" si="24"/>
        <v>7.9621800000000006E-2</v>
      </c>
      <c r="E255" s="54">
        <f t="shared" si="25"/>
        <v>7.9621800000000006E-2</v>
      </c>
    </row>
    <row r="256" spans="1:10">
      <c r="A256" t="s">
        <v>191</v>
      </c>
      <c r="B256" s="1">
        <v>0.10199999999999999</v>
      </c>
      <c r="D256">
        <f t="shared" si="24"/>
        <v>0.11170679999999999</v>
      </c>
      <c r="E256" s="54">
        <f t="shared" si="25"/>
        <v>0.11170679999999999</v>
      </c>
      <c r="G256" s="5" t="s">
        <v>260</v>
      </c>
      <c r="H256">
        <v>1.2834000000000001</v>
      </c>
    </row>
    <row r="257" spans="1:10">
      <c r="A257" t="s">
        <v>192</v>
      </c>
      <c r="B257" s="1">
        <v>0.60499999999999998</v>
      </c>
      <c r="D257">
        <f t="shared" si="24"/>
        <v>0.75725700000000007</v>
      </c>
      <c r="E257" s="54">
        <f t="shared" si="25"/>
        <v>0.75725700000000007</v>
      </c>
      <c r="G257" s="5" t="s">
        <v>261</v>
      </c>
      <c r="H257">
        <v>1.9199999999999998E-2</v>
      </c>
    </row>
    <row r="258" spans="1:10">
      <c r="A258" t="s">
        <v>193</v>
      </c>
      <c r="B258" s="1">
        <v>6.6000000000000003E-2</v>
      </c>
      <c r="D258">
        <f t="shared" si="24"/>
        <v>6.5504400000000018E-2</v>
      </c>
      <c r="E258" s="54">
        <f t="shared" si="25"/>
        <v>6.5504400000000018E-2</v>
      </c>
    </row>
    <row r="259" spans="1:10">
      <c r="A259" t="s">
        <v>194</v>
      </c>
      <c r="B259" s="1">
        <v>0.158</v>
      </c>
      <c r="D259">
        <f t="shared" si="24"/>
        <v>0.18357720000000002</v>
      </c>
      <c r="E259" s="54">
        <f t="shared" si="25"/>
        <v>0.18357720000000002</v>
      </c>
    </row>
    <row r="260" spans="1:10">
      <c r="A260" s="7" t="s">
        <v>195</v>
      </c>
      <c r="B260" s="11"/>
      <c r="C260" s="11">
        <v>0.03</v>
      </c>
      <c r="D260" s="7">
        <f>((C260*$H$256)-$H$257)*10</f>
        <v>0.19302000000000002</v>
      </c>
      <c r="E260" s="54">
        <f t="shared" si="25"/>
        <v>0.19302000000000002</v>
      </c>
    </row>
    <row r="261" spans="1:10">
      <c r="A261" t="s">
        <v>196</v>
      </c>
      <c r="B261" s="1">
        <v>7.1999999999999995E-2</v>
      </c>
      <c r="D261">
        <f t="shared" si="24"/>
        <v>7.32048E-2</v>
      </c>
      <c r="E261" s="54">
        <f t="shared" si="25"/>
        <v>7.32048E-2</v>
      </c>
    </row>
    <row r="262" spans="1:10">
      <c r="A262" t="s">
        <v>197</v>
      </c>
      <c r="B262" s="1">
        <v>0.09</v>
      </c>
      <c r="D262">
        <f t="shared" si="24"/>
        <v>9.6306000000000003E-2</v>
      </c>
      <c r="E262" s="54">
        <f t="shared" si="25"/>
        <v>9.6306000000000003E-2</v>
      </c>
    </row>
    <row r="263" spans="1:10">
      <c r="A263" t="s">
        <v>198</v>
      </c>
      <c r="B263" s="1">
        <v>9.8000000000000004E-2</v>
      </c>
      <c r="D263">
        <f t="shared" si="24"/>
        <v>0.10657320000000001</v>
      </c>
      <c r="E263" s="54">
        <f t="shared" si="25"/>
        <v>0.10657320000000001</v>
      </c>
    </row>
    <row r="264" spans="1:10">
      <c r="A264" t="s">
        <v>199</v>
      </c>
      <c r="B264" s="1">
        <v>0.11</v>
      </c>
      <c r="D264">
        <f t="shared" si="24"/>
        <v>0.12197400000000003</v>
      </c>
      <c r="E264" s="54">
        <f t="shared" si="25"/>
        <v>0.12197400000000003</v>
      </c>
    </row>
    <row r="265" spans="1:10">
      <c r="A265" t="s">
        <v>200</v>
      </c>
      <c r="B265" s="1">
        <v>0.34200000000000003</v>
      </c>
      <c r="D265">
        <f t="shared" si="24"/>
        <v>0.41972280000000006</v>
      </c>
      <c r="E265" s="54">
        <f t="shared" si="25"/>
        <v>0.41972280000000006</v>
      </c>
    </row>
    <row r="266" spans="1:10">
      <c r="A266" t="s">
        <v>201</v>
      </c>
      <c r="B266" s="1">
        <v>0.13100000000000001</v>
      </c>
      <c r="D266">
        <f t="shared" si="24"/>
        <v>0.14892540000000001</v>
      </c>
      <c r="E266" s="54">
        <f t="shared" si="25"/>
        <v>0.14892540000000001</v>
      </c>
    </row>
    <row r="267" spans="1:10">
      <c r="A267" t="s">
        <v>202</v>
      </c>
      <c r="B267" s="1">
        <v>0.13400000000000001</v>
      </c>
      <c r="D267">
        <f t="shared" si="24"/>
        <v>0.15277560000000004</v>
      </c>
      <c r="E267" s="54">
        <f t="shared" si="25"/>
        <v>0.15277560000000004</v>
      </c>
    </row>
    <row r="268" spans="1:10">
      <c r="A268" s="26" t="s">
        <v>203</v>
      </c>
      <c r="B268" s="27">
        <v>8.9999999999999993E-3</v>
      </c>
      <c r="C268" s="27"/>
      <c r="D268">
        <f t="shared" si="24"/>
        <v>-7.6493999999999989E-3</v>
      </c>
      <c r="E268" s="54">
        <f t="shared" si="25"/>
        <v>-7.6493999999999989E-3</v>
      </c>
      <c r="F268">
        <v>0</v>
      </c>
      <c r="I268" s="65" t="s">
        <v>234</v>
      </c>
      <c r="J268" s="65"/>
    </row>
    <row r="269" spans="1:10">
      <c r="A269" s="17"/>
      <c r="B269" s="13" t="s">
        <v>229</v>
      </c>
      <c r="C269" s="13"/>
      <c r="D269" s="5" t="s">
        <v>2</v>
      </c>
      <c r="E269" s="5" t="s">
        <v>19</v>
      </c>
      <c r="I269" s="62" t="s">
        <v>17</v>
      </c>
      <c r="J269" s="63"/>
    </row>
    <row r="270" spans="1:10">
      <c r="A270" s="17"/>
      <c r="B270" s="13"/>
      <c r="C270" s="13" t="s">
        <v>103</v>
      </c>
      <c r="D270" s="5" t="s">
        <v>18</v>
      </c>
      <c r="E270" s="5" t="s">
        <v>18</v>
      </c>
      <c r="I270" s="57">
        <v>0</v>
      </c>
      <c r="J270" s="16">
        <v>6.0000000000000001E-3</v>
      </c>
    </row>
    <row r="271" spans="1:10">
      <c r="A271" t="s">
        <v>204</v>
      </c>
      <c r="B271" s="1">
        <v>0.41</v>
      </c>
      <c r="D271">
        <f>(B271*$J$278)-$J$279</f>
        <v>0.49294199999999999</v>
      </c>
      <c r="E271">
        <f>D271</f>
        <v>0.49294199999999999</v>
      </c>
      <c r="I271" s="57">
        <v>0.1</v>
      </c>
      <c r="J271" s="16">
        <v>0.09</v>
      </c>
    </row>
    <row r="272" spans="1:10">
      <c r="A272" t="s">
        <v>205</v>
      </c>
      <c r="B272" s="1">
        <v>9.1999999999999998E-2</v>
      </c>
      <c r="D272">
        <f t="shared" ref="D272:D295" si="26">(B272*$J$278)-$J$279</f>
        <v>9.3470399999999981E-2</v>
      </c>
      <c r="E272">
        <f t="shared" ref="E272:E294" si="27">D272</f>
        <v>9.3470399999999981E-2</v>
      </c>
      <c r="I272" s="57">
        <v>0.2</v>
      </c>
      <c r="J272" s="16">
        <v>0.18</v>
      </c>
    </row>
    <row r="273" spans="1:10">
      <c r="A273" t="s">
        <v>206</v>
      </c>
      <c r="B273" s="1">
        <v>0.16500000000000001</v>
      </c>
      <c r="D273">
        <f t="shared" si="26"/>
        <v>0.185173</v>
      </c>
      <c r="E273">
        <f t="shared" si="27"/>
        <v>0.185173</v>
      </c>
      <c r="I273" s="57">
        <v>0.4</v>
      </c>
      <c r="J273" s="34">
        <v>0.36599999999999999</v>
      </c>
    </row>
    <row r="274" spans="1:10">
      <c r="A274" t="s">
        <v>207</v>
      </c>
      <c r="B274" s="1">
        <v>0.16400000000000001</v>
      </c>
      <c r="D274">
        <f t="shared" si="26"/>
        <v>0.18391679999999999</v>
      </c>
      <c r="E274">
        <f t="shared" si="27"/>
        <v>0.18391679999999999</v>
      </c>
      <c r="I274" s="57">
        <v>0.6</v>
      </c>
      <c r="J274" s="16">
        <v>0.48699999999999999</v>
      </c>
    </row>
    <row r="275" spans="1:10">
      <c r="A275" t="s">
        <v>208</v>
      </c>
      <c r="B275" s="1">
        <v>0.14299999999999999</v>
      </c>
      <c r="D275">
        <f t="shared" si="26"/>
        <v>0.15753659999999997</v>
      </c>
      <c r="E275">
        <f t="shared" si="27"/>
        <v>0.15753659999999997</v>
      </c>
      <c r="I275" s="57">
        <v>0.8</v>
      </c>
      <c r="J275" s="16">
        <v>0.67100000000000004</v>
      </c>
    </row>
    <row r="276" spans="1:10">
      <c r="A276" t="s">
        <v>209</v>
      </c>
      <c r="B276" s="1">
        <v>1.0620000000000001</v>
      </c>
      <c r="D276">
        <f t="shared" si="26"/>
        <v>1.3119844000000001</v>
      </c>
      <c r="E276">
        <f t="shared" si="27"/>
        <v>1.3119844000000001</v>
      </c>
      <c r="I276" s="57">
        <v>1</v>
      </c>
      <c r="J276" s="16">
        <v>0.79100000000000004</v>
      </c>
    </row>
    <row r="277" spans="1:10">
      <c r="A277" t="s">
        <v>210</v>
      </c>
      <c r="B277" s="1">
        <v>0.64200000000000002</v>
      </c>
      <c r="D277">
        <f t="shared" si="26"/>
        <v>0.78438039999999998</v>
      </c>
      <c r="E277">
        <f t="shared" si="27"/>
        <v>0.78438039999999998</v>
      </c>
    </row>
    <row r="278" spans="1:10">
      <c r="A278" t="s">
        <v>211</v>
      </c>
      <c r="B278" s="1">
        <v>0.17199999999999999</v>
      </c>
      <c r="D278">
        <f t="shared" si="26"/>
        <v>0.19396639999999998</v>
      </c>
      <c r="E278">
        <f t="shared" si="27"/>
        <v>0.19396639999999998</v>
      </c>
      <c r="I278" s="5" t="s">
        <v>260</v>
      </c>
      <c r="J278">
        <v>1.2562</v>
      </c>
    </row>
    <row r="279" spans="1:10">
      <c r="A279" t="s">
        <v>212</v>
      </c>
      <c r="B279" s="1">
        <v>0.14199999999999999</v>
      </c>
      <c r="D279">
        <f t="shared" si="26"/>
        <v>0.15628039999999999</v>
      </c>
      <c r="E279">
        <f t="shared" si="27"/>
        <v>0.15628039999999999</v>
      </c>
      <c r="I279" s="5" t="s">
        <v>261</v>
      </c>
      <c r="J279">
        <v>2.2100000000000002E-2</v>
      </c>
    </row>
    <row r="280" spans="1:10">
      <c r="A280" t="s">
        <v>213</v>
      </c>
      <c r="B280" s="1">
        <v>0.153</v>
      </c>
      <c r="D280">
        <f t="shared" si="26"/>
        <v>0.17009859999999999</v>
      </c>
      <c r="E280">
        <f t="shared" si="27"/>
        <v>0.17009859999999999</v>
      </c>
    </row>
    <row r="281" spans="1:10">
      <c r="A281" t="s">
        <v>214</v>
      </c>
      <c r="B281" s="1">
        <v>0.127</v>
      </c>
      <c r="D281">
        <f t="shared" si="26"/>
        <v>0.13743739999999999</v>
      </c>
      <c r="E281">
        <f t="shared" si="27"/>
        <v>0.13743739999999999</v>
      </c>
    </row>
    <row r="282" spans="1:10">
      <c r="A282" t="s">
        <v>215</v>
      </c>
      <c r="B282" s="1">
        <v>9.8000000000000004E-2</v>
      </c>
      <c r="D282">
        <f t="shared" si="26"/>
        <v>0.1010076</v>
      </c>
      <c r="E282">
        <f t="shared" si="27"/>
        <v>0.1010076</v>
      </c>
    </row>
    <row r="283" spans="1:10">
      <c r="A283" t="s">
        <v>216</v>
      </c>
      <c r="B283" s="1">
        <v>8.5000000000000006E-2</v>
      </c>
      <c r="D283">
        <f t="shared" si="26"/>
        <v>8.4677000000000002E-2</v>
      </c>
      <c r="E283">
        <f t="shared" si="27"/>
        <v>8.4677000000000002E-2</v>
      </c>
    </row>
    <row r="284" spans="1:10">
      <c r="A284" t="s">
        <v>217</v>
      </c>
      <c r="B284" s="1">
        <v>9.5000000000000001E-2</v>
      </c>
      <c r="D284">
        <f t="shared" si="26"/>
        <v>9.7238999999999992E-2</v>
      </c>
      <c r="E284">
        <f t="shared" si="27"/>
        <v>9.7238999999999992E-2</v>
      </c>
    </row>
    <row r="285" spans="1:10">
      <c r="A285">
        <v>10</v>
      </c>
      <c r="B285" s="1">
        <v>0.14499999999999999</v>
      </c>
      <c r="D285">
        <f t="shared" si="26"/>
        <v>0.16004899999999997</v>
      </c>
      <c r="E285">
        <f t="shared" si="27"/>
        <v>0.16004899999999997</v>
      </c>
    </row>
    <row r="286" spans="1:10">
      <c r="A286">
        <v>14</v>
      </c>
      <c r="B286" s="1">
        <v>7.5999999999999998E-2</v>
      </c>
      <c r="D286">
        <f t="shared" si="26"/>
        <v>7.3371199999999998E-2</v>
      </c>
      <c r="E286">
        <f t="shared" si="27"/>
        <v>7.3371199999999998E-2</v>
      </c>
    </row>
    <row r="287" spans="1:10">
      <c r="A287">
        <v>18</v>
      </c>
      <c r="B287" s="1">
        <v>9.9000000000000005E-2</v>
      </c>
      <c r="D287">
        <f t="shared" si="26"/>
        <v>0.10226380000000002</v>
      </c>
      <c r="E287">
        <f t="shared" si="27"/>
        <v>0.10226380000000002</v>
      </c>
    </row>
    <row r="288" spans="1:10">
      <c r="A288">
        <v>91</v>
      </c>
      <c r="B288" s="1">
        <v>0.442</v>
      </c>
      <c r="D288">
        <f t="shared" si="26"/>
        <v>0.53314039999999996</v>
      </c>
      <c r="E288">
        <f t="shared" si="27"/>
        <v>0.53314039999999996</v>
      </c>
    </row>
    <row r="289" spans="1:10">
      <c r="A289">
        <v>95</v>
      </c>
      <c r="B289" s="1">
        <v>0.151</v>
      </c>
      <c r="D289">
        <f t="shared" si="26"/>
        <v>0.16758619999999999</v>
      </c>
      <c r="E289">
        <f t="shared" si="27"/>
        <v>0.16758619999999999</v>
      </c>
    </row>
    <row r="290" spans="1:10">
      <c r="A290">
        <v>279</v>
      </c>
      <c r="B290" s="1">
        <v>0.16900000000000001</v>
      </c>
      <c r="D290">
        <f t="shared" si="26"/>
        <v>0.1901978</v>
      </c>
      <c r="E290">
        <f t="shared" si="27"/>
        <v>0.1901978</v>
      </c>
    </row>
    <row r="291" spans="1:10">
      <c r="A291">
        <v>288</v>
      </c>
      <c r="B291" s="1">
        <v>0.13600000000000001</v>
      </c>
      <c r="D291">
        <f t="shared" si="26"/>
        <v>0.14874319999999999</v>
      </c>
      <c r="E291">
        <f t="shared" si="27"/>
        <v>0.14874319999999999</v>
      </c>
    </row>
    <row r="292" spans="1:10">
      <c r="A292">
        <v>290</v>
      </c>
      <c r="B292" s="1">
        <v>0.123</v>
      </c>
      <c r="D292">
        <f t="shared" si="26"/>
        <v>0.13241259999999999</v>
      </c>
      <c r="E292">
        <f t="shared" si="27"/>
        <v>0.13241259999999999</v>
      </c>
    </row>
    <row r="293" spans="1:10">
      <c r="A293" t="s">
        <v>218</v>
      </c>
      <c r="B293" s="1">
        <v>0.156</v>
      </c>
      <c r="D293">
        <f t="shared" si="26"/>
        <v>0.1738672</v>
      </c>
      <c r="E293">
        <f t="shared" si="27"/>
        <v>0.1738672</v>
      </c>
    </row>
    <row r="294" spans="1:10">
      <c r="A294" t="s">
        <v>219</v>
      </c>
      <c r="B294" s="1">
        <v>0.16800000000000001</v>
      </c>
      <c r="D294">
        <f t="shared" si="26"/>
        <v>0.18894160000000002</v>
      </c>
      <c r="E294">
        <f t="shared" si="27"/>
        <v>0.18894160000000002</v>
      </c>
    </row>
    <row r="295" spans="1:10">
      <c r="A295" s="26" t="s">
        <v>220</v>
      </c>
      <c r="B295" s="27">
        <v>4.0000000000000001E-3</v>
      </c>
      <c r="C295" s="27"/>
      <c r="D295">
        <f t="shared" si="26"/>
        <v>-1.7075200000000002E-2</v>
      </c>
      <c r="E295">
        <v>0</v>
      </c>
    </row>
    <row r="296" spans="1:10">
      <c r="A296" s="17"/>
      <c r="B296" s="13"/>
      <c r="C296" s="13"/>
      <c r="D296" s="5" t="s">
        <v>2</v>
      </c>
      <c r="E296" s="5" t="s">
        <v>19</v>
      </c>
    </row>
    <row r="297" spans="1:10">
      <c r="A297" s="17"/>
      <c r="B297" s="13"/>
      <c r="C297" s="13" t="s">
        <v>103</v>
      </c>
      <c r="D297" s="5" t="s">
        <v>18</v>
      </c>
      <c r="E297" s="5" t="s">
        <v>18</v>
      </c>
      <c r="I297" s="65" t="s">
        <v>235</v>
      </c>
      <c r="J297" s="65"/>
    </row>
    <row r="298" spans="1:10">
      <c r="A298" s="25">
        <v>46</v>
      </c>
      <c r="B298" s="1">
        <v>0.114</v>
      </c>
      <c r="D298">
        <f>(B298*$J$307)-$J$308</f>
        <v>0.13181040000000002</v>
      </c>
      <c r="E298" s="54">
        <f>D298-$D$320</f>
        <v>0.12758160000000002</v>
      </c>
      <c r="I298" s="62" t="s">
        <v>17</v>
      </c>
      <c r="J298" s="63"/>
    </row>
    <row r="299" spans="1:10">
      <c r="A299" s="25">
        <v>48</v>
      </c>
      <c r="B299" s="1">
        <v>0.106</v>
      </c>
      <c r="D299">
        <f t="shared" ref="D299:D316" si="28">(B299*$J$307)-$J$308</f>
        <v>0.12218159999999999</v>
      </c>
      <c r="E299" s="54">
        <f t="shared" ref="E299:E320" si="29">D299-$D$320</f>
        <v>0.11795279999999998</v>
      </c>
      <c r="I299" s="57">
        <v>0</v>
      </c>
      <c r="J299" s="16">
        <v>5.0000000000000001E-3</v>
      </c>
    </row>
    <row r="300" spans="1:10">
      <c r="A300" s="25">
        <v>50</v>
      </c>
      <c r="B300" s="1">
        <v>0.01</v>
      </c>
      <c r="D300">
        <f t="shared" si="28"/>
        <v>6.6359999999999995E-3</v>
      </c>
      <c r="E300" s="54">
        <f t="shared" si="29"/>
        <v>2.4072E-3</v>
      </c>
      <c r="I300" s="57">
        <v>0.1</v>
      </c>
      <c r="J300" s="16">
        <v>8.5000000000000006E-2</v>
      </c>
    </row>
    <row r="301" spans="1:10">
      <c r="A301" s="25">
        <v>51</v>
      </c>
      <c r="B301" s="1">
        <v>0.11600000000000001</v>
      </c>
      <c r="D301">
        <f t="shared" si="28"/>
        <v>0.13421760000000002</v>
      </c>
      <c r="E301" s="54">
        <f t="shared" si="29"/>
        <v>0.12998880000000002</v>
      </c>
      <c r="I301" s="57">
        <v>0.2</v>
      </c>
      <c r="J301" s="16">
        <v>0.17199999999999999</v>
      </c>
    </row>
    <row r="302" spans="1:10">
      <c r="A302" s="25">
        <v>52</v>
      </c>
      <c r="B302" s="1">
        <v>8.3000000000000004E-2</v>
      </c>
      <c r="D302">
        <f t="shared" si="28"/>
        <v>9.4498800000000008E-2</v>
      </c>
      <c r="E302" s="54">
        <f t="shared" si="29"/>
        <v>9.0270000000000003E-2</v>
      </c>
      <c r="I302" s="57">
        <v>0.4</v>
      </c>
      <c r="J302" s="16">
        <v>0.34300000000000003</v>
      </c>
    </row>
    <row r="303" spans="1:10">
      <c r="A303" s="25">
        <v>53</v>
      </c>
      <c r="B303" s="1">
        <v>0.13600000000000001</v>
      </c>
      <c r="D303">
        <f t="shared" si="28"/>
        <v>0.15828960000000003</v>
      </c>
      <c r="E303" s="54">
        <f t="shared" si="29"/>
        <v>0.15406080000000003</v>
      </c>
      <c r="I303" s="57">
        <v>0.6</v>
      </c>
      <c r="J303" s="16">
        <v>0.499</v>
      </c>
    </row>
    <row r="304" spans="1:10">
      <c r="A304" s="25">
        <v>300</v>
      </c>
      <c r="B304" s="1">
        <v>0.106</v>
      </c>
      <c r="D304">
        <f t="shared" si="28"/>
        <v>0.12218159999999999</v>
      </c>
      <c r="E304" s="54">
        <f t="shared" si="29"/>
        <v>0.11795279999999998</v>
      </c>
      <c r="I304" s="57">
        <v>0.8</v>
      </c>
      <c r="J304" s="16">
        <v>0.66300000000000003</v>
      </c>
    </row>
    <row r="305" spans="1:10">
      <c r="A305" s="25">
        <v>302</v>
      </c>
      <c r="B305" s="1">
        <v>0.126</v>
      </c>
      <c r="D305">
        <f t="shared" si="28"/>
        <v>0.14625360000000001</v>
      </c>
      <c r="E305" s="54">
        <f t="shared" si="29"/>
        <v>0.14202480000000001</v>
      </c>
      <c r="I305" s="57">
        <v>1</v>
      </c>
      <c r="J305" s="16">
        <v>0.84</v>
      </c>
    </row>
    <row r="306" spans="1:10">
      <c r="A306" s="25">
        <v>303</v>
      </c>
      <c r="B306" s="1">
        <v>8.7999999999999995E-2</v>
      </c>
      <c r="D306">
        <f t="shared" si="28"/>
        <v>0.10051679999999999</v>
      </c>
      <c r="E306" s="54">
        <f t="shared" si="29"/>
        <v>9.6287999999999985E-2</v>
      </c>
    </row>
    <row r="307" spans="1:10">
      <c r="A307" s="25">
        <v>304</v>
      </c>
      <c r="B307" s="1">
        <v>0.29299999999999998</v>
      </c>
      <c r="D307">
        <f t="shared" si="28"/>
        <v>0.34725479999999997</v>
      </c>
      <c r="E307" s="54">
        <f t="shared" si="29"/>
        <v>0.343026</v>
      </c>
      <c r="I307" s="5" t="s">
        <v>260</v>
      </c>
      <c r="J307">
        <v>1.2036</v>
      </c>
    </row>
    <row r="308" spans="1:10">
      <c r="A308" s="25">
        <v>305</v>
      </c>
      <c r="B308" s="1">
        <v>0.121</v>
      </c>
      <c r="D308">
        <f t="shared" si="28"/>
        <v>0.14023560000000002</v>
      </c>
      <c r="E308" s="54">
        <f t="shared" si="29"/>
        <v>0.13600680000000001</v>
      </c>
      <c r="I308" s="5" t="s">
        <v>261</v>
      </c>
      <c r="J308">
        <v>5.4000000000000003E-3</v>
      </c>
    </row>
    <row r="309" spans="1:10">
      <c r="A309" s="25">
        <v>306</v>
      </c>
      <c r="B309" s="1">
        <v>0.129</v>
      </c>
      <c r="D309">
        <f t="shared" si="28"/>
        <v>0.14986440000000001</v>
      </c>
      <c r="E309" s="54">
        <f t="shared" si="29"/>
        <v>0.1456356</v>
      </c>
    </row>
    <row r="310" spans="1:10">
      <c r="A310" s="25">
        <v>307</v>
      </c>
      <c r="B310" s="1">
        <v>8.5000000000000006E-2</v>
      </c>
      <c r="D310">
        <f t="shared" si="28"/>
        <v>9.6906000000000006E-2</v>
      </c>
      <c r="E310" s="54">
        <f t="shared" si="29"/>
        <v>9.2677200000000001E-2</v>
      </c>
    </row>
    <row r="311" spans="1:10">
      <c r="A311" s="20">
        <v>315</v>
      </c>
      <c r="B311" s="1">
        <v>0.249</v>
      </c>
      <c r="D311">
        <f t="shared" si="28"/>
        <v>0.29429639999999996</v>
      </c>
      <c r="E311" s="54">
        <f t="shared" si="29"/>
        <v>0.29006759999999998</v>
      </c>
    </row>
    <row r="312" spans="1:10">
      <c r="A312" s="20">
        <v>321</v>
      </c>
      <c r="B312" s="1">
        <v>0.155</v>
      </c>
      <c r="D312">
        <f t="shared" si="28"/>
        <v>0.18115800000000001</v>
      </c>
      <c r="E312" s="54">
        <f t="shared" si="29"/>
        <v>0.17692920000000001</v>
      </c>
    </row>
    <row r="313" spans="1:10">
      <c r="A313" s="20">
        <v>324</v>
      </c>
      <c r="B313" s="1">
        <v>0.50900000000000001</v>
      </c>
      <c r="D313">
        <f t="shared" si="28"/>
        <v>0.60723240000000001</v>
      </c>
      <c r="E313" s="54">
        <f t="shared" si="29"/>
        <v>0.60300359999999997</v>
      </c>
    </row>
    <row r="314" spans="1:10">
      <c r="A314" s="20">
        <v>361</v>
      </c>
      <c r="B314" s="1">
        <v>0.52100000000000002</v>
      </c>
      <c r="D314">
        <f t="shared" si="28"/>
        <v>0.62167560000000011</v>
      </c>
      <c r="E314" s="54">
        <f t="shared" si="29"/>
        <v>0.61744680000000007</v>
      </c>
    </row>
    <row r="315" spans="1:10">
      <c r="A315" s="20">
        <v>363</v>
      </c>
      <c r="B315" s="1">
        <v>0.999</v>
      </c>
      <c r="D315">
        <f t="shared" si="28"/>
        <v>1.1969964</v>
      </c>
      <c r="E315" s="54">
        <f t="shared" si="29"/>
        <v>1.1927676</v>
      </c>
    </row>
    <row r="316" spans="1:10">
      <c r="A316" s="20">
        <v>369</v>
      </c>
      <c r="B316" s="1">
        <v>1.361</v>
      </c>
      <c r="D316">
        <f t="shared" si="28"/>
        <v>1.6326996</v>
      </c>
      <c r="E316" s="54">
        <f t="shared" si="29"/>
        <v>1.6284708000000001</v>
      </c>
    </row>
    <row r="317" spans="1:10">
      <c r="A317" s="20">
        <v>383</v>
      </c>
      <c r="B317" s="1">
        <v>1.9259999999999999</v>
      </c>
      <c r="C317" s="1">
        <v>0.52900000000000003</v>
      </c>
      <c r="D317">
        <f>((C317*$J$307)-$J$308)*10</f>
        <v>6.3130440000000014</v>
      </c>
      <c r="E317" s="54">
        <f t="shared" si="29"/>
        <v>6.3088152000000015</v>
      </c>
    </row>
    <row r="318" spans="1:10">
      <c r="A318" t="s">
        <v>221</v>
      </c>
      <c r="B318" s="1">
        <v>0.14499999999999999</v>
      </c>
      <c r="D318">
        <f>(B318*$J$307)-$J$308</f>
        <v>0.16912199999999999</v>
      </c>
      <c r="E318" s="54">
        <f t="shared" si="29"/>
        <v>0.16489319999999999</v>
      </c>
    </row>
    <row r="319" spans="1:10">
      <c r="A319" t="s">
        <v>222</v>
      </c>
      <c r="B319" s="1">
        <v>0.151</v>
      </c>
      <c r="D319">
        <f t="shared" ref="D319:D320" si="30">(B319*$J$307)-$J$308</f>
        <v>0.17634360000000002</v>
      </c>
      <c r="E319" s="54">
        <f t="shared" si="29"/>
        <v>0.17211480000000001</v>
      </c>
    </row>
    <row r="320" spans="1:10">
      <c r="A320" t="s">
        <v>223</v>
      </c>
      <c r="B320" s="1">
        <v>8.0000000000000002E-3</v>
      </c>
      <c r="D320">
        <f t="shared" si="30"/>
        <v>4.2287999999999996E-3</v>
      </c>
      <c r="E320" s="54">
        <f t="shared" si="29"/>
        <v>0</v>
      </c>
    </row>
    <row r="322" spans="1:12">
      <c r="A322">
        <v>369</v>
      </c>
      <c r="C322" s="1">
        <v>0.153</v>
      </c>
      <c r="D322">
        <f>((C322*$J$333)-$J$334)*10</f>
        <v>1.8773329999999999</v>
      </c>
      <c r="E322">
        <v>20.462799999999998</v>
      </c>
    </row>
    <row r="323" spans="1:12">
      <c r="I323" s="62" t="s">
        <v>256</v>
      </c>
      <c r="J323" s="63"/>
      <c r="K323" s="62" t="s">
        <v>256</v>
      </c>
      <c r="L323" s="63"/>
    </row>
    <row r="324" spans="1:12">
      <c r="A324">
        <v>68</v>
      </c>
      <c r="B324">
        <v>0.63200000000000001</v>
      </c>
      <c r="C324"/>
      <c r="D324">
        <f>(B324*$J$333)-$J$334</f>
        <v>0.81335520000000006</v>
      </c>
      <c r="E324">
        <f>D324</f>
        <v>0.81335520000000006</v>
      </c>
      <c r="I324" s="64" t="s">
        <v>17</v>
      </c>
      <c r="J324" s="64"/>
      <c r="K324" s="64" t="s">
        <v>46</v>
      </c>
      <c r="L324" s="64"/>
    </row>
    <row r="325" spans="1:12">
      <c r="A325">
        <v>91</v>
      </c>
      <c r="B325">
        <v>0.36399999999999999</v>
      </c>
      <c r="C325"/>
      <c r="D325">
        <f t="shared" ref="D325:D335" si="31">(B325*$J$333)-$J$334</f>
        <v>0.46332040000000002</v>
      </c>
      <c r="E325">
        <f t="shared" ref="E325:E334" si="32">D325</f>
        <v>0.46332040000000002</v>
      </c>
      <c r="I325" s="57">
        <v>0</v>
      </c>
      <c r="J325" s="56">
        <v>5.0000000000000001E-3</v>
      </c>
      <c r="K325" s="57">
        <v>0</v>
      </c>
      <c r="L325" s="56">
        <v>6.0000000000000001E-3</v>
      </c>
    </row>
    <row r="326" spans="1:12">
      <c r="A326">
        <v>95</v>
      </c>
      <c r="B326">
        <v>0.13300000000000001</v>
      </c>
      <c r="C326"/>
      <c r="D326">
        <f t="shared" si="31"/>
        <v>0.16161130000000001</v>
      </c>
      <c r="E326">
        <f t="shared" si="32"/>
        <v>0.16161130000000001</v>
      </c>
      <c r="I326" s="57">
        <v>0.1</v>
      </c>
      <c r="J326" s="56">
        <v>8.1000000000000003E-2</v>
      </c>
      <c r="K326" s="57">
        <v>0.1</v>
      </c>
      <c r="L326" s="56">
        <v>8.3000000000000004E-2</v>
      </c>
    </row>
    <row r="327" spans="1:12">
      <c r="A327">
        <v>294</v>
      </c>
      <c r="B327">
        <v>0.26400000000000001</v>
      </c>
      <c r="C327"/>
      <c r="D327">
        <f t="shared" si="31"/>
        <v>0.33271040000000002</v>
      </c>
      <c r="E327">
        <f t="shared" si="32"/>
        <v>0.33271040000000002</v>
      </c>
      <c r="I327" s="57">
        <v>0.2</v>
      </c>
      <c r="J327" s="56">
        <v>0.16200000000000001</v>
      </c>
      <c r="K327" s="57">
        <v>0.2</v>
      </c>
      <c r="L327" s="56">
        <v>0.16300000000000001</v>
      </c>
    </row>
    <row r="328" spans="1:12">
      <c r="A328">
        <v>308</v>
      </c>
      <c r="B328">
        <v>1.0349999999999999</v>
      </c>
      <c r="C328"/>
      <c r="D328">
        <f t="shared" si="31"/>
        <v>1.3397135</v>
      </c>
      <c r="E328">
        <f t="shared" si="32"/>
        <v>1.3397135</v>
      </c>
      <c r="I328" s="57">
        <v>0.4</v>
      </c>
      <c r="J328" s="56">
        <v>0.32200000000000001</v>
      </c>
      <c r="K328" s="57">
        <v>0.4</v>
      </c>
      <c r="L328" s="56">
        <v>0.32400000000000001</v>
      </c>
    </row>
    <row r="329" spans="1:12">
      <c r="A329">
        <v>326</v>
      </c>
      <c r="B329">
        <v>0.29099999999999998</v>
      </c>
      <c r="C329"/>
      <c r="D329">
        <f t="shared" si="31"/>
        <v>0.3679751</v>
      </c>
      <c r="E329">
        <f t="shared" si="32"/>
        <v>0.3679751</v>
      </c>
      <c r="I329" s="57">
        <v>0.6</v>
      </c>
      <c r="J329" s="56">
        <v>0.48</v>
      </c>
      <c r="K329" s="57">
        <v>0.6</v>
      </c>
      <c r="L329" s="56">
        <v>0.48799999999999999</v>
      </c>
    </row>
    <row r="330" spans="1:12">
      <c r="A330">
        <v>369</v>
      </c>
      <c r="B330"/>
      <c r="C330">
        <v>0.13800000000000001</v>
      </c>
      <c r="D330">
        <f>((C330*$J$333)-$J$334)*10</f>
        <v>1.6814180000000001</v>
      </c>
      <c r="E330">
        <f>D330*10</f>
        <v>16.81418</v>
      </c>
      <c r="I330" s="57">
        <v>0.8</v>
      </c>
      <c r="J330" s="56">
        <v>0.626</v>
      </c>
      <c r="K330" s="57">
        <v>0.8</v>
      </c>
      <c r="L330" s="56">
        <v>0.61799999999999999</v>
      </c>
    </row>
    <row r="331" spans="1:12">
      <c r="A331" t="s">
        <v>251</v>
      </c>
      <c r="B331">
        <v>0.13600000000000001</v>
      </c>
      <c r="C331"/>
      <c r="D331">
        <f t="shared" si="31"/>
        <v>0.16552960000000003</v>
      </c>
      <c r="E331">
        <f t="shared" si="32"/>
        <v>0.16552960000000003</v>
      </c>
      <c r="I331" s="57">
        <v>1</v>
      </c>
      <c r="J331" s="15">
        <v>0.76200000000000001</v>
      </c>
      <c r="K331" s="57">
        <v>1</v>
      </c>
      <c r="L331" s="15">
        <v>0.77400000000000002</v>
      </c>
    </row>
    <row r="332" spans="1:12">
      <c r="A332" t="s">
        <v>252</v>
      </c>
      <c r="B332">
        <v>0.13100000000000001</v>
      </c>
      <c r="C332"/>
      <c r="D332">
        <f t="shared" si="31"/>
        <v>0.1589991</v>
      </c>
      <c r="E332">
        <f t="shared" si="32"/>
        <v>0.1589991</v>
      </c>
    </row>
    <row r="333" spans="1:12">
      <c r="A333" t="s">
        <v>253</v>
      </c>
      <c r="B333">
        <v>0.312</v>
      </c>
      <c r="C333"/>
      <c r="D333">
        <f t="shared" si="31"/>
        <v>0.39540320000000001</v>
      </c>
      <c r="E333">
        <f t="shared" si="32"/>
        <v>0.39540320000000001</v>
      </c>
      <c r="I333" s="5" t="s">
        <v>260</v>
      </c>
      <c r="J333" s="61">
        <v>1.3061</v>
      </c>
    </row>
    <row r="334" spans="1:12">
      <c r="A334" t="s">
        <v>254</v>
      </c>
      <c r="B334">
        <v>0.29799999999999999</v>
      </c>
      <c r="C334"/>
      <c r="D334">
        <f t="shared" si="31"/>
        <v>0.3771178</v>
      </c>
      <c r="E334">
        <f t="shared" si="32"/>
        <v>0.3771178</v>
      </c>
      <c r="I334" s="5" t="s">
        <v>261</v>
      </c>
      <c r="J334" s="61">
        <v>1.21E-2</v>
      </c>
    </row>
    <row r="335" spans="1:12">
      <c r="A335" t="s">
        <v>255</v>
      </c>
      <c r="B335">
        <v>5.0000000000000001E-3</v>
      </c>
      <c r="C335"/>
      <c r="D335">
        <f t="shared" si="31"/>
        <v>-5.5694999999999989E-3</v>
      </c>
      <c r="E335">
        <v>0</v>
      </c>
    </row>
    <row r="336" spans="1:12">
      <c r="B336"/>
      <c r="C336"/>
    </row>
    <row r="337" spans="1:5">
      <c r="A337">
        <v>85</v>
      </c>
      <c r="B337"/>
      <c r="C337">
        <v>0.14199999999999999</v>
      </c>
      <c r="D337">
        <f>((C337*$J$333)-$J$334)*10</f>
        <v>1.733662</v>
      </c>
      <c r="E337">
        <f>D337*10</f>
        <v>17.33662</v>
      </c>
    </row>
    <row r="339" spans="1:5">
      <c r="C339" s="11" t="s">
        <v>271</v>
      </c>
    </row>
    <row r="340" spans="1:5">
      <c r="A340" s="2" t="s">
        <v>266</v>
      </c>
      <c r="B340" s="2">
        <f>_xlfn.STDEV.S(E335,D320,E295,F268,D241,D214,D187,E159,E132,D104,D77,D49)</f>
        <v>2.053078728165264E-2</v>
      </c>
      <c r="C340" s="11"/>
    </row>
    <row r="341" spans="1:5">
      <c r="A341" s="69" t="s">
        <v>264</v>
      </c>
      <c r="B341" s="69">
        <f>3*B340</f>
        <v>6.1592361844957921E-2</v>
      </c>
      <c r="C341" s="11">
        <f>B341*50</f>
        <v>3.079618092247896</v>
      </c>
    </row>
    <row r="342" spans="1:5">
      <c r="A342" s="69" t="s">
        <v>265</v>
      </c>
      <c r="B342" s="69">
        <f>10*B340</f>
        <v>0.2053078728165264</v>
      </c>
      <c r="C342" s="1">
        <f>B342*50</f>
        <v>10.26539364082632</v>
      </c>
    </row>
    <row r="344" spans="1:5">
      <c r="A344" s="1" t="s">
        <v>270</v>
      </c>
    </row>
    <row r="346" spans="1:5" ht="18.75">
      <c r="A346" s="7" t="s">
        <v>272</v>
      </c>
      <c r="B346" s="11"/>
      <c r="C346" s="11"/>
      <c r="D346" s="7"/>
    </row>
    <row r="348" spans="1:5">
      <c r="A348" t="s">
        <v>267</v>
      </c>
    </row>
    <row r="349" spans="1:5">
      <c r="A349" s="70"/>
    </row>
    <row r="350" spans="1:5">
      <c r="A350" s="71" t="s">
        <v>268</v>
      </c>
    </row>
    <row r="351" spans="1:5">
      <c r="A351" s="70"/>
    </row>
    <row r="352" spans="1:5">
      <c r="A352" s="71" t="s">
        <v>269</v>
      </c>
    </row>
  </sheetData>
  <mergeCells count="32">
    <mergeCell ref="I107:J107"/>
    <mergeCell ref="I106:L106"/>
    <mergeCell ref="K107:L107"/>
    <mergeCell ref="A1:D1"/>
    <mergeCell ref="F1:H1"/>
    <mergeCell ref="J1:K1"/>
    <mergeCell ref="I79:L79"/>
    <mergeCell ref="I80:J80"/>
    <mergeCell ref="K80:L80"/>
    <mergeCell ref="J54:K54"/>
    <mergeCell ref="J55:K55"/>
    <mergeCell ref="I26:J26"/>
    <mergeCell ref="G247:H247"/>
    <mergeCell ref="I247:J247"/>
    <mergeCell ref="I161:L161"/>
    <mergeCell ref="I162:J162"/>
    <mergeCell ref="K162:L162"/>
    <mergeCell ref="I187:J187"/>
    <mergeCell ref="I188:J188"/>
    <mergeCell ref="I139:J139"/>
    <mergeCell ref="I140:J140"/>
    <mergeCell ref="I215:J215"/>
    <mergeCell ref="I216:J216"/>
    <mergeCell ref="G246:J246"/>
    <mergeCell ref="I323:J323"/>
    <mergeCell ref="K323:L323"/>
    <mergeCell ref="I324:J324"/>
    <mergeCell ref="K324:L324"/>
    <mergeCell ref="I268:J268"/>
    <mergeCell ref="I269:J269"/>
    <mergeCell ref="I297:J297"/>
    <mergeCell ref="I298:J298"/>
  </mergeCells>
  <phoneticPr fontId="7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4"/>
  <sheetViews>
    <sheetView tabSelected="1" topLeftCell="A304" zoomScale="130" zoomScaleNormal="130" workbookViewId="0">
      <selection activeCell="D320" sqref="D320"/>
    </sheetView>
  </sheetViews>
  <sheetFormatPr defaultColWidth="9.140625" defaultRowHeight="15"/>
  <cols>
    <col min="3" max="3" width="6.42578125" bestFit="1" customWidth="1"/>
    <col min="4" max="4" width="10.140625" bestFit="1" customWidth="1"/>
    <col min="5" max="5" width="11.28515625" customWidth="1"/>
    <col min="9" max="9" width="9.42578125" customWidth="1"/>
    <col min="10" max="10" width="11.85546875" customWidth="1"/>
  </cols>
  <sheetData>
    <row r="1" spans="1:9">
      <c r="A1" t="s">
        <v>7</v>
      </c>
    </row>
    <row r="2" spans="1:9">
      <c r="A2" t="s">
        <v>11</v>
      </c>
      <c r="B2" t="s">
        <v>12</v>
      </c>
      <c r="C2" t="s">
        <v>47</v>
      </c>
      <c r="D2" s="5" t="s">
        <v>2</v>
      </c>
      <c r="E2" s="5" t="s">
        <v>19</v>
      </c>
    </row>
    <row r="3" spans="1:9">
      <c r="D3" s="5" t="s">
        <v>18</v>
      </c>
      <c r="E3" s="5" t="s">
        <v>18</v>
      </c>
    </row>
    <row r="4" spans="1:9">
      <c r="A4" s="17">
        <v>1</v>
      </c>
      <c r="B4" s="17">
        <v>0.44500000000000001</v>
      </c>
      <c r="C4" s="17"/>
      <c r="D4" s="17">
        <f>(B4*$H$16)-$H$17</f>
        <v>0.60920750000000001</v>
      </c>
      <c r="E4" s="17">
        <f>D4-$D$28</f>
        <v>0.60571350000000002</v>
      </c>
    </row>
    <row r="5" spans="1:9">
      <c r="A5" s="17">
        <v>4</v>
      </c>
      <c r="B5" s="17">
        <v>0.13700000000000001</v>
      </c>
      <c r="C5" s="17"/>
      <c r="D5" s="17">
        <f t="shared" ref="D5:D28" si="0">(B5*$H$16)-$H$17</f>
        <v>0.18616950000000002</v>
      </c>
      <c r="E5" s="17">
        <f t="shared" ref="E5:E28" si="1">D5-$D$28</f>
        <v>0.18267550000000002</v>
      </c>
    </row>
    <row r="6" spans="1:9">
      <c r="A6" s="17">
        <v>8</v>
      </c>
      <c r="B6" s="17">
        <v>0.34300000000000003</v>
      </c>
      <c r="C6" s="17"/>
      <c r="D6" s="17">
        <f t="shared" si="0"/>
        <v>0.46911050000000004</v>
      </c>
      <c r="E6" s="17">
        <f t="shared" si="1"/>
        <v>0.46561650000000004</v>
      </c>
      <c r="G6" s="62" t="s">
        <v>48</v>
      </c>
      <c r="H6" s="66"/>
      <c r="I6" s="63"/>
    </row>
    <row r="7" spans="1:9">
      <c r="A7" s="17">
        <v>10</v>
      </c>
      <c r="B7" s="17">
        <v>0.60599999999999998</v>
      </c>
      <c r="C7" s="17"/>
      <c r="D7" s="17">
        <f t="shared" si="0"/>
        <v>0.830341</v>
      </c>
      <c r="E7" s="17">
        <f t="shared" si="1"/>
        <v>0.826847</v>
      </c>
      <c r="G7" s="14"/>
      <c r="H7" s="14" t="s">
        <v>16</v>
      </c>
      <c r="I7" s="14" t="s">
        <v>17</v>
      </c>
    </row>
    <row r="8" spans="1:9">
      <c r="A8" s="17">
        <v>14</v>
      </c>
      <c r="B8" s="17"/>
      <c r="C8" s="17"/>
      <c r="D8" s="17"/>
      <c r="E8" s="17"/>
      <c r="G8" s="57">
        <v>0</v>
      </c>
      <c r="H8" s="14">
        <v>1E-3</v>
      </c>
      <c r="I8" s="14">
        <v>3.0000000000000001E-3</v>
      </c>
    </row>
    <row r="9" spans="1:9">
      <c r="A9" s="17">
        <v>18</v>
      </c>
      <c r="B9" s="17"/>
      <c r="C9" s="17"/>
      <c r="D9" s="17"/>
      <c r="E9" s="17"/>
      <c r="G9" s="57">
        <v>0.1</v>
      </c>
      <c r="H9" s="14">
        <v>7.0999999999999994E-2</v>
      </c>
      <c r="I9" s="14">
        <v>7.0999999999999994E-2</v>
      </c>
    </row>
    <row r="10" spans="1:9">
      <c r="A10" s="17">
        <v>21</v>
      </c>
      <c r="B10" s="17">
        <v>0.249</v>
      </c>
      <c r="C10" s="17"/>
      <c r="D10" s="17">
        <f t="shared" si="0"/>
        <v>0.34000149999999996</v>
      </c>
      <c r="E10" s="17">
        <f t="shared" si="1"/>
        <v>0.33650749999999996</v>
      </c>
      <c r="G10" s="57">
        <v>0.2</v>
      </c>
      <c r="H10" s="14">
        <v>0.14499999999999999</v>
      </c>
      <c r="I10" s="14">
        <v>0.14899999999999999</v>
      </c>
    </row>
    <row r="11" spans="1:9">
      <c r="A11" s="17">
        <v>22</v>
      </c>
      <c r="B11" s="17">
        <v>0.28499999999999998</v>
      </c>
      <c r="C11" s="17"/>
      <c r="D11" s="17">
        <f t="shared" si="0"/>
        <v>0.38944749999999995</v>
      </c>
      <c r="E11" s="17">
        <f t="shared" si="1"/>
        <v>0.38595349999999995</v>
      </c>
      <c r="G11" s="57">
        <v>0.4</v>
      </c>
      <c r="H11" s="14">
        <v>0.30099999999999999</v>
      </c>
      <c r="I11" s="14">
        <v>0.30099999999999999</v>
      </c>
    </row>
    <row r="12" spans="1:9">
      <c r="A12" s="17">
        <v>26</v>
      </c>
      <c r="B12" s="17">
        <v>1.0980000000000001</v>
      </c>
      <c r="C12" s="17">
        <v>0.10199999999999999</v>
      </c>
      <c r="D12" s="17">
        <f>((C12*$H$16)-$H$17)*10</f>
        <v>1.3809699999999996</v>
      </c>
      <c r="E12" s="17">
        <f t="shared" si="1"/>
        <v>1.3774759999999995</v>
      </c>
      <c r="G12" s="57">
        <v>0.6</v>
      </c>
      <c r="H12" s="14">
        <v>0.44</v>
      </c>
      <c r="I12" s="14">
        <v>0.45200000000000001</v>
      </c>
    </row>
    <row r="13" spans="1:9">
      <c r="A13" s="17">
        <v>29</v>
      </c>
      <c r="B13" s="17">
        <v>0.152</v>
      </c>
      <c r="C13" s="17"/>
      <c r="D13" s="17">
        <f t="shared" si="0"/>
        <v>0.20677199999999998</v>
      </c>
      <c r="E13" s="17">
        <f t="shared" si="1"/>
        <v>0.20327799999999999</v>
      </c>
      <c r="G13" s="57">
        <v>0.8</v>
      </c>
      <c r="H13" s="14">
        <v>0.58099999999999996</v>
      </c>
      <c r="I13" s="14">
        <v>0.58499999999999996</v>
      </c>
    </row>
    <row r="14" spans="1:9">
      <c r="A14" s="17">
        <v>32</v>
      </c>
      <c r="B14" s="17">
        <v>0.14199999999999999</v>
      </c>
      <c r="C14" s="17"/>
      <c r="D14" s="17">
        <f t="shared" si="0"/>
        <v>0.19303699999999999</v>
      </c>
      <c r="E14" s="17">
        <f t="shared" si="1"/>
        <v>0.18954299999999999</v>
      </c>
      <c r="G14" s="57">
        <v>1</v>
      </c>
      <c r="H14" s="14">
        <v>0.72799999999999998</v>
      </c>
      <c r="I14" s="14">
        <v>0.74299999999999999</v>
      </c>
    </row>
    <row r="15" spans="1:9">
      <c r="A15" s="17">
        <v>35</v>
      </c>
      <c r="B15" s="17">
        <v>0.16200000000000001</v>
      </c>
      <c r="C15" s="17"/>
      <c r="D15" s="17">
        <f t="shared" si="0"/>
        <v>0.22050700000000001</v>
      </c>
      <c r="E15" s="17">
        <f t="shared" si="1"/>
        <v>0.21701300000000001</v>
      </c>
    </row>
    <row r="16" spans="1:9">
      <c r="A16" s="17">
        <v>38</v>
      </c>
      <c r="B16" s="17">
        <v>0.127</v>
      </c>
      <c r="C16" s="17"/>
      <c r="D16" s="17">
        <f t="shared" si="0"/>
        <v>0.17243449999999999</v>
      </c>
      <c r="E16" s="17">
        <f t="shared" si="1"/>
        <v>0.16894049999999999</v>
      </c>
      <c r="G16" s="5" t="s">
        <v>260</v>
      </c>
      <c r="H16" s="61">
        <v>1.3734999999999999</v>
      </c>
    </row>
    <row r="17" spans="1:10">
      <c r="A17" s="17">
        <v>41</v>
      </c>
      <c r="B17" s="17">
        <v>0.17</v>
      </c>
      <c r="C17" s="17"/>
      <c r="D17" s="17">
        <f t="shared" si="0"/>
        <v>0.23149500000000001</v>
      </c>
      <c r="E17" s="17">
        <f t="shared" si="1"/>
        <v>0.22800100000000001</v>
      </c>
      <c r="G17" s="5" t="s">
        <v>261</v>
      </c>
      <c r="H17" s="61">
        <v>2E-3</v>
      </c>
    </row>
    <row r="18" spans="1:10">
      <c r="A18" s="17">
        <v>43</v>
      </c>
      <c r="B18" s="17">
        <v>0.111</v>
      </c>
      <c r="C18" s="17"/>
      <c r="D18" s="17">
        <f t="shared" si="0"/>
        <v>0.1504585</v>
      </c>
      <c r="E18" s="17">
        <f t="shared" si="1"/>
        <v>0.1469645</v>
      </c>
    </row>
    <row r="19" spans="1:10">
      <c r="A19" s="17">
        <v>47</v>
      </c>
      <c r="B19" s="17">
        <v>0.44600000000000001</v>
      </c>
      <c r="C19" s="17"/>
      <c r="D19" s="17">
        <f t="shared" si="0"/>
        <v>0.61058099999999993</v>
      </c>
      <c r="E19" s="17">
        <f t="shared" si="1"/>
        <v>0.60708699999999993</v>
      </c>
    </row>
    <row r="20" spans="1:10">
      <c r="A20" s="17">
        <v>49</v>
      </c>
      <c r="B20" s="17">
        <v>0.218</v>
      </c>
      <c r="C20" s="17"/>
      <c r="D20" s="17">
        <f t="shared" si="0"/>
        <v>0.29742299999999999</v>
      </c>
      <c r="E20" s="17">
        <f t="shared" si="1"/>
        <v>0.293929</v>
      </c>
    </row>
    <row r="21" spans="1:10">
      <c r="A21" s="17">
        <v>54</v>
      </c>
      <c r="B21" s="17">
        <v>0.156</v>
      </c>
      <c r="C21" s="17"/>
      <c r="D21" s="17">
        <f t="shared" si="0"/>
        <v>0.21226599999999998</v>
      </c>
      <c r="E21" s="17">
        <f t="shared" si="1"/>
        <v>0.20877199999999999</v>
      </c>
    </row>
    <row r="22" spans="1:10">
      <c r="A22" s="7">
        <v>57</v>
      </c>
      <c r="B22" s="7">
        <v>2.0049999999999999</v>
      </c>
      <c r="C22" s="7">
        <v>0.80600000000000005</v>
      </c>
      <c r="D22" s="17">
        <f>((C22*$H$16)-$H$17)*10</f>
        <v>11.050409999999999</v>
      </c>
      <c r="E22" s="17">
        <f t="shared" si="1"/>
        <v>11.046916</v>
      </c>
    </row>
    <row r="23" spans="1:10">
      <c r="A23" s="17">
        <v>60</v>
      </c>
      <c r="B23" s="17">
        <v>0.16400000000000001</v>
      </c>
      <c r="C23" s="17"/>
      <c r="D23" s="17">
        <f t="shared" si="0"/>
        <v>0.22325400000000001</v>
      </c>
      <c r="E23" s="17">
        <f t="shared" si="1"/>
        <v>0.21976000000000001</v>
      </c>
    </row>
    <row r="24" spans="1:10">
      <c r="A24" s="17">
        <v>61</v>
      </c>
      <c r="B24" s="17">
        <v>0.95099999999999996</v>
      </c>
      <c r="C24" s="17"/>
      <c r="D24" s="17">
        <f t="shared" si="0"/>
        <v>1.3041984999999998</v>
      </c>
      <c r="E24" s="17">
        <f t="shared" si="1"/>
        <v>1.3007044999999997</v>
      </c>
    </row>
    <row r="25" spans="1:10">
      <c r="A25" s="17">
        <v>65</v>
      </c>
      <c r="B25" s="17">
        <v>0.92500000000000004</v>
      </c>
      <c r="C25" s="17"/>
      <c r="D25" s="17">
        <f t="shared" si="0"/>
        <v>1.2684875</v>
      </c>
      <c r="E25" s="17">
        <f t="shared" si="1"/>
        <v>1.2649934999999999</v>
      </c>
    </row>
    <row r="26" spans="1:10">
      <c r="A26" s="48" t="s">
        <v>8</v>
      </c>
      <c r="B26" s="17">
        <v>0.28100000000000003</v>
      </c>
      <c r="C26" s="17"/>
      <c r="D26" s="17">
        <f t="shared" si="0"/>
        <v>0.3839535</v>
      </c>
      <c r="E26" s="17">
        <f t="shared" si="1"/>
        <v>0.38045950000000001</v>
      </c>
    </row>
    <row r="27" spans="1:10">
      <c r="A27" s="48" t="s">
        <v>9</v>
      </c>
      <c r="B27" s="17">
        <v>0.28699999999999998</v>
      </c>
      <c r="C27" s="17"/>
      <c r="D27" s="17">
        <f t="shared" si="0"/>
        <v>0.39219449999999995</v>
      </c>
      <c r="E27" s="17">
        <f t="shared" si="1"/>
        <v>0.38870049999999995</v>
      </c>
    </row>
    <row r="28" spans="1:10">
      <c r="A28" s="48" t="s">
        <v>10</v>
      </c>
      <c r="B28" s="17">
        <v>4.0000000000000001E-3</v>
      </c>
      <c r="C28" s="17"/>
      <c r="D28" s="17">
        <f t="shared" si="0"/>
        <v>3.4939999999999997E-3</v>
      </c>
      <c r="E28" s="17">
        <f t="shared" si="1"/>
        <v>0</v>
      </c>
    </row>
    <row r="29" spans="1:10">
      <c r="A29" s="48"/>
      <c r="B29" s="17"/>
      <c r="C29" s="17"/>
      <c r="D29" s="17"/>
      <c r="E29" s="17"/>
    </row>
    <row r="30" spans="1:10">
      <c r="A30" t="s">
        <v>11</v>
      </c>
      <c r="B30" t="s">
        <v>12</v>
      </c>
      <c r="C30" t="s">
        <v>47</v>
      </c>
      <c r="D30" s="5" t="s">
        <v>2</v>
      </c>
      <c r="E30" s="5" t="s">
        <v>19</v>
      </c>
    </row>
    <row r="31" spans="1:10">
      <c r="D31" s="5" t="s">
        <v>18</v>
      </c>
      <c r="E31" s="5" t="s">
        <v>18</v>
      </c>
    </row>
    <row r="32" spans="1:10">
      <c r="A32" s="17">
        <v>66</v>
      </c>
      <c r="B32" s="17">
        <v>0.30099999999999999</v>
      </c>
      <c r="C32" s="17"/>
      <c r="D32" s="17">
        <f>(B32*$H$42)-$H$43</f>
        <v>0.41443250000000004</v>
      </c>
      <c r="E32" s="17">
        <f>D32-$D$56</f>
        <v>0.41475000000000006</v>
      </c>
      <c r="G32" s="64" t="s">
        <v>49</v>
      </c>
      <c r="H32" s="64"/>
      <c r="I32" s="64"/>
      <c r="J32" s="64"/>
    </row>
    <row r="33" spans="1:10">
      <c r="A33" s="7">
        <v>72</v>
      </c>
      <c r="B33" s="7">
        <v>1.9990000000000001</v>
      </c>
      <c r="C33" s="7">
        <v>1.5640000000000001</v>
      </c>
      <c r="D33" s="17">
        <f>((C33*$H$42)-$H$43)*10</f>
        <v>21.6053</v>
      </c>
      <c r="E33" s="17">
        <f t="shared" ref="E33:E56" si="2">D33-$D$56</f>
        <v>21.605617500000001</v>
      </c>
      <c r="G33" s="64" t="s">
        <v>16</v>
      </c>
      <c r="H33" s="64"/>
      <c r="I33" s="64" t="s">
        <v>17</v>
      </c>
      <c r="J33" s="64"/>
    </row>
    <row r="34" spans="1:10">
      <c r="A34" s="17">
        <v>75</v>
      </c>
      <c r="B34" s="17">
        <v>0.92500000000000004</v>
      </c>
      <c r="C34" s="17"/>
      <c r="D34" s="17">
        <f t="shared" ref="D34:D56" si="3">(B34*$H$42)-$H$43</f>
        <v>1.2771125000000001</v>
      </c>
      <c r="E34" s="17">
        <f t="shared" si="2"/>
        <v>1.2774300000000001</v>
      </c>
      <c r="G34" s="57">
        <v>0</v>
      </c>
      <c r="H34" s="14">
        <v>2E-3</v>
      </c>
      <c r="I34" s="57">
        <v>0</v>
      </c>
      <c r="J34" s="14">
        <v>2E-3</v>
      </c>
    </row>
    <row r="35" spans="1:10">
      <c r="A35" s="7">
        <v>76</v>
      </c>
      <c r="B35" s="7">
        <v>1.6140000000000001</v>
      </c>
      <c r="C35" s="7">
        <v>0.19700000000000001</v>
      </c>
      <c r="D35" s="17">
        <f>((C35*$H$42)-$H$43)*10</f>
        <v>2.7065250000000001</v>
      </c>
      <c r="E35" s="17">
        <f t="shared" si="2"/>
        <v>2.7068425</v>
      </c>
      <c r="G35" s="57">
        <v>0.1</v>
      </c>
      <c r="H35" s="14">
        <v>7.1999999999999995E-2</v>
      </c>
      <c r="I35" s="57">
        <v>0.1</v>
      </c>
      <c r="J35" s="14">
        <v>6.9000000000000006E-2</v>
      </c>
    </row>
    <row r="36" spans="1:10">
      <c r="A36" s="17">
        <v>81</v>
      </c>
      <c r="B36" s="17">
        <v>0.42899999999999999</v>
      </c>
      <c r="C36" s="17"/>
      <c r="D36" s="17">
        <f t="shared" si="3"/>
        <v>0.59139249999999999</v>
      </c>
      <c r="E36" s="17">
        <f t="shared" si="2"/>
        <v>0.59170999999999996</v>
      </c>
      <c r="G36" s="57">
        <v>0.2</v>
      </c>
      <c r="H36" s="14">
        <v>0.14899999999999999</v>
      </c>
      <c r="I36" s="57">
        <v>0.2</v>
      </c>
      <c r="J36" s="14">
        <v>0.14699999999999999</v>
      </c>
    </row>
    <row r="37" spans="1:10">
      <c r="A37" s="7">
        <v>83</v>
      </c>
      <c r="B37" s="7">
        <v>1.9450000000000001</v>
      </c>
      <c r="C37" s="7">
        <v>0.28599999999999998</v>
      </c>
      <c r="D37" s="17">
        <f>((C37*$H$42)-$H$43)*10</f>
        <v>3.9369500000000004</v>
      </c>
      <c r="E37" s="17">
        <f t="shared" si="2"/>
        <v>3.9372675000000004</v>
      </c>
      <c r="G37" s="57">
        <v>0.4</v>
      </c>
      <c r="H37" s="14">
        <v>0.29099999999999998</v>
      </c>
      <c r="I37" s="57">
        <v>0.4</v>
      </c>
      <c r="J37" s="14">
        <v>0.29399999999999998</v>
      </c>
    </row>
    <row r="38" spans="1:10">
      <c r="A38" s="7">
        <v>85</v>
      </c>
      <c r="B38" s="7">
        <v>1.978</v>
      </c>
      <c r="C38" s="7">
        <v>0.65300000000000002</v>
      </c>
      <c r="D38" s="17">
        <f>((C38*$H$42)-$H$43)*10</f>
        <v>9.0107250000000008</v>
      </c>
      <c r="E38" s="17">
        <f t="shared" si="2"/>
        <v>9.0110425000000003</v>
      </c>
      <c r="G38" s="57">
        <v>0.6</v>
      </c>
      <c r="H38" s="14">
        <v>0.42199999999999999</v>
      </c>
      <c r="I38" s="57">
        <v>0.6</v>
      </c>
      <c r="J38" s="14">
        <v>0.432</v>
      </c>
    </row>
    <row r="39" spans="1:10">
      <c r="A39" s="7">
        <v>89</v>
      </c>
      <c r="B39" s="7">
        <v>1.8620000000000001</v>
      </c>
      <c r="C39" s="11">
        <v>0.24</v>
      </c>
      <c r="D39" s="17">
        <f>((C39*$H$42)-$H$43)*10</f>
        <v>3.3010000000000002</v>
      </c>
      <c r="E39" s="17">
        <f t="shared" si="2"/>
        <v>3.3013175000000001</v>
      </c>
      <c r="G39" s="57">
        <v>0.8</v>
      </c>
      <c r="H39" s="14">
        <v>0.57299999999999995</v>
      </c>
      <c r="I39" s="57">
        <v>0.8</v>
      </c>
      <c r="J39" s="14">
        <v>0.59</v>
      </c>
    </row>
    <row r="40" spans="1:10">
      <c r="A40" s="7">
        <v>91</v>
      </c>
      <c r="B40" s="11">
        <v>1.28</v>
      </c>
      <c r="C40" s="7">
        <v>0.14699999999999999</v>
      </c>
      <c r="D40" s="17">
        <f>((C40*$H$42)-$H$43)*10</f>
        <v>2.0152749999999999</v>
      </c>
      <c r="E40" s="17">
        <f t="shared" si="2"/>
        <v>2.0155924999999999</v>
      </c>
      <c r="G40" s="57">
        <v>1</v>
      </c>
      <c r="H40" s="14">
        <v>0.73299999999999998</v>
      </c>
      <c r="I40" s="57">
        <v>1</v>
      </c>
      <c r="J40" s="14">
        <v>0.73399999999999999</v>
      </c>
    </row>
    <row r="41" spans="1:10">
      <c r="A41" s="17">
        <v>95</v>
      </c>
      <c r="B41" s="17">
        <v>0.19700000000000001</v>
      </c>
      <c r="C41" s="17"/>
      <c r="D41" s="17">
        <f t="shared" si="3"/>
        <v>0.27065250000000002</v>
      </c>
      <c r="E41" s="17">
        <f t="shared" si="2"/>
        <v>0.27097000000000004</v>
      </c>
    </row>
    <row r="42" spans="1:10">
      <c r="A42" s="17">
        <v>98</v>
      </c>
      <c r="B42" s="17">
        <v>0.378</v>
      </c>
      <c r="C42" s="17"/>
      <c r="D42" s="17">
        <f t="shared" si="3"/>
        <v>0.52088500000000004</v>
      </c>
      <c r="E42" s="17">
        <f t="shared" si="2"/>
        <v>0.52120250000000001</v>
      </c>
      <c r="G42" s="5" t="s">
        <v>260</v>
      </c>
      <c r="H42" s="61">
        <v>1.3825000000000001</v>
      </c>
    </row>
    <row r="43" spans="1:10">
      <c r="A43" s="17">
        <v>101</v>
      </c>
      <c r="B43" s="17">
        <v>0.14000000000000001</v>
      </c>
      <c r="C43" s="17"/>
      <c r="D43" s="17">
        <f t="shared" si="3"/>
        <v>0.19185000000000002</v>
      </c>
      <c r="E43" s="17">
        <f t="shared" si="2"/>
        <v>0.19216750000000002</v>
      </c>
      <c r="G43" s="5" t="s">
        <v>261</v>
      </c>
      <c r="H43" s="61">
        <v>1.6999999999999999E-3</v>
      </c>
    </row>
    <row r="44" spans="1:10">
      <c r="A44" s="17">
        <v>105</v>
      </c>
      <c r="B44" s="17">
        <v>0.43099999999999999</v>
      </c>
      <c r="C44" s="17"/>
      <c r="D44" s="17">
        <f t="shared" si="3"/>
        <v>0.59415750000000001</v>
      </c>
      <c r="E44" s="17">
        <f t="shared" si="2"/>
        <v>0.59447499999999998</v>
      </c>
    </row>
    <row r="45" spans="1:10">
      <c r="A45" s="17">
        <v>108</v>
      </c>
      <c r="B45" s="17">
        <v>0.124</v>
      </c>
      <c r="C45" s="17"/>
      <c r="D45" s="17">
        <f t="shared" si="3"/>
        <v>0.16972999999999999</v>
      </c>
      <c r="E45" s="17">
        <f t="shared" si="2"/>
        <v>0.17004749999999999</v>
      </c>
    </row>
    <row r="46" spans="1:10">
      <c r="A46" s="17">
        <v>109</v>
      </c>
      <c r="B46" s="17">
        <v>0.49099999999999999</v>
      </c>
      <c r="C46" s="17"/>
      <c r="D46" s="17">
        <f t="shared" si="3"/>
        <v>0.67710749999999997</v>
      </c>
      <c r="E46" s="17">
        <f t="shared" si="2"/>
        <v>0.67742499999999994</v>
      </c>
    </row>
    <row r="47" spans="1:10">
      <c r="A47" s="17">
        <v>114</v>
      </c>
      <c r="B47" s="17">
        <v>0.52100000000000002</v>
      </c>
      <c r="C47" s="17"/>
      <c r="D47" s="17">
        <f t="shared" si="3"/>
        <v>0.71858250000000001</v>
      </c>
      <c r="E47" s="17">
        <f t="shared" si="2"/>
        <v>0.71889999999999998</v>
      </c>
    </row>
    <row r="48" spans="1:10">
      <c r="A48" s="17">
        <v>117</v>
      </c>
      <c r="B48" s="17">
        <v>0.31</v>
      </c>
      <c r="C48" s="17"/>
      <c r="D48" s="17">
        <f t="shared" si="3"/>
        <v>0.42687500000000006</v>
      </c>
      <c r="E48" s="17">
        <f t="shared" si="2"/>
        <v>0.42719250000000009</v>
      </c>
    </row>
    <row r="49" spans="1:10">
      <c r="A49" s="7">
        <v>118</v>
      </c>
      <c r="B49" s="7">
        <v>1.996</v>
      </c>
      <c r="C49" s="7">
        <v>0.379</v>
      </c>
      <c r="D49" s="17">
        <f>((C49*$H$42)-$H$43)*10</f>
        <v>5.2226749999999997</v>
      </c>
      <c r="E49" s="17">
        <f t="shared" si="2"/>
        <v>5.2229925000000001</v>
      </c>
    </row>
    <row r="50" spans="1:10">
      <c r="A50" s="7">
        <v>122</v>
      </c>
      <c r="B50" s="7">
        <v>1.98</v>
      </c>
      <c r="C50" s="7">
        <v>0.53700000000000003</v>
      </c>
      <c r="D50" s="17">
        <f>((C50*$H$42)-$H$43)*10</f>
        <v>7.4070250000000009</v>
      </c>
      <c r="E50" s="17">
        <f t="shared" si="2"/>
        <v>7.4073425000000013</v>
      </c>
    </row>
    <row r="51" spans="1:10">
      <c r="A51" s="17">
        <v>126</v>
      </c>
      <c r="B51" s="17">
        <v>0.82299999999999995</v>
      </c>
      <c r="C51" s="17"/>
      <c r="D51" s="17">
        <f t="shared" si="3"/>
        <v>1.1360975</v>
      </c>
      <c r="E51" s="17">
        <f t="shared" si="2"/>
        <v>1.136415</v>
      </c>
    </row>
    <row r="52" spans="1:10">
      <c r="A52" s="7">
        <v>128</v>
      </c>
      <c r="B52" s="7">
        <v>1.9059999999999999</v>
      </c>
      <c r="C52" s="7">
        <v>0.27100000000000002</v>
      </c>
      <c r="D52" s="17">
        <f>((C52*$H$42)-$H$43)*10</f>
        <v>3.7295750000000005</v>
      </c>
      <c r="E52" s="17">
        <f t="shared" si="2"/>
        <v>3.7298925000000005</v>
      </c>
    </row>
    <row r="53" spans="1:10">
      <c r="A53" s="17">
        <v>132</v>
      </c>
      <c r="B53" s="17">
        <v>0.752</v>
      </c>
      <c r="C53" s="17"/>
      <c r="D53" s="17">
        <f t="shared" si="3"/>
        <v>1.0379400000000001</v>
      </c>
      <c r="E53" s="17">
        <f t="shared" si="2"/>
        <v>1.0382575000000001</v>
      </c>
    </row>
    <row r="54" spans="1:10">
      <c r="A54" s="17" t="s">
        <v>9</v>
      </c>
      <c r="B54" s="22">
        <v>1.2999999999999999E-2</v>
      </c>
      <c r="C54" s="17"/>
      <c r="D54" s="17">
        <f t="shared" si="3"/>
        <v>1.6272499999999999E-2</v>
      </c>
      <c r="E54" s="17">
        <f t="shared" si="2"/>
        <v>1.6589999999999997E-2</v>
      </c>
    </row>
    <row r="55" spans="1:10">
      <c r="A55" s="17" t="s">
        <v>15</v>
      </c>
      <c r="B55" s="22">
        <v>1.0999999999999999E-2</v>
      </c>
      <c r="C55" s="17"/>
      <c r="D55" s="17">
        <f t="shared" si="3"/>
        <v>1.35075E-2</v>
      </c>
      <c r="E55" s="17">
        <f t="shared" si="2"/>
        <v>1.3825E-2</v>
      </c>
    </row>
    <row r="56" spans="1:10">
      <c r="A56" s="17" t="s">
        <v>10</v>
      </c>
      <c r="B56" s="22">
        <v>1E-3</v>
      </c>
      <c r="C56" s="17"/>
      <c r="D56" s="17">
        <f t="shared" si="3"/>
        <v>-3.1749999999999986E-4</v>
      </c>
      <c r="E56" s="17">
        <f t="shared" si="2"/>
        <v>0</v>
      </c>
    </row>
    <row r="57" spans="1:10">
      <c r="A57" s="17"/>
      <c r="B57" s="18"/>
      <c r="C57" s="17"/>
      <c r="D57" s="18"/>
      <c r="E57" s="17"/>
    </row>
    <row r="58" spans="1:10">
      <c r="A58" s="17"/>
      <c r="B58" s="13" t="s">
        <v>236</v>
      </c>
      <c r="C58" s="13"/>
      <c r="D58" s="5" t="s">
        <v>2</v>
      </c>
      <c r="E58" s="5" t="s">
        <v>19</v>
      </c>
    </row>
    <row r="59" spans="1:10">
      <c r="A59" s="17"/>
      <c r="B59" s="13"/>
      <c r="C59" s="13" t="s">
        <v>103</v>
      </c>
      <c r="D59" s="5" t="s">
        <v>18</v>
      </c>
      <c r="E59" s="5" t="s">
        <v>18</v>
      </c>
      <c r="I59" s="62" t="s">
        <v>237</v>
      </c>
      <c r="J59" s="63"/>
    </row>
    <row r="60" spans="1:10">
      <c r="A60" s="20" t="s">
        <v>50</v>
      </c>
      <c r="B60" s="22">
        <v>0.19800000000000001</v>
      </c>
      <c r="D60" s="22">
        <f>(($J$69*B60)-$J$70)</f>
        <v>0.27854500000000004</v>
      </c>
      <c r="E60" s="17">
        <f>D60-$D$84</f>
        <v>0.27836250000000007</v>
      </c>
      <c r="I60" s="64" t="s">
        <v>17</v>
      </c>
      <c r="J60" s="64"/>
    </row>
    <row r="61" spans="1:10">
      <c r="A61" s="20" t="s">
        <v>51</v>
      </c>
      <c r="B61" s="22">
        <v>4.1000000000000002E-2</v>
      </c>
      <c r="D61" s="22">
        <f t="shared" ref="D61:D84" si="4">(($J$69*B61)-$J$70)</f>
        <v>5.4427500000000004E-2</v>
      </c>
      <c r="E61" s="17">
        <f t="shared" ref="E61:E84" si="5">D61-$D$84</f>
        <v>5.4245000000000002E-2</v>
      </c>
      <c r="I61" s="57">
        <v>0</v>
      </c>
      <c r="J61" s="19">
        <v>5.0000000000000001E-3</v>
      </c>
    </row>
    <row r="62" spans="1:10">
      <c r="A62" s="29" t="s">
        <v>52</v>
      </c>
      <c r="B62" s="23">
        <v>1.9710000000000001</v>
      </c>
      <c r="C62" s="7">
        <v>0.53400000000000003</v>
      </c>
      <c r="D62" s="22">
        <f>(($J$69*C62)-$J$70)*10</f>
        <v>7.5818500000000002</v>
      </c>
      <c r="E62" s="17">
        <f t="shared" si="5"/>
        <v>7.5816675</v>
      </c>
      <c r="I62" s="57">
        <v>0.1</v>
      </c>
      <c r="J62" s="19">
        <v>7.0000000000000007E-2</v>
      </c>
    </row>
    <row r="63" spans="1:10">
      <c r="A63" s="29" t="s">
        <v>53</v>
      </c>
      <c r="B63" s="23">
        <v>1.0109999999999999</v>
      </c>
      <c r="C63" s="7">
        <v>0.36799999999999999</v>
      </c>
      <c r="D63" s="22">
        <f>(($J$69*C63)-$J$70)*10</f>
        <v>5.2122000000000002</v>
      </c>
      <c r="E63" s="17">
        <f t="shared" si="5"/>
        <v>5.2120175</v>
      </c>
      <c r="I63" s="57">
        <v>0.2</v>
      </c>
      <c r="J63" s="19">
        <v>0.14099999999999999</v>
      </c>
    </row>
    <row r="64" spans="1:10">
      <c r="A64" s="20" t="s">
        <v>54</v>
      </c>
      <c r="B64" s="22">
        <v>6.7000000000000004E-2</v>
      </c>
      <c r="D64" s="22">
        <f t="shared" si="4"/>
        <v>9.1542499999999999E-2</v>
      </c>
      <c r="E64" s="17">
        <f t="shared" si="5"/>
        <v>9.1359999999999997E-2</v>
      </c>
      <c r="I64" s="57">
        <v>0.4</v>
      </c>
      <c r="J64" s="19">
        <v>0.28499999999999998</v>
      </c>
    </row>
    <row r="65" spans="1:10">
      <c r="A65" s="20" t="s">
        <v>55</v>
      </c>
      <c r="B65" s="22">
        <v>0.41299999999999998</v>
      </c>
      <c r="C65" s="17"/>
      <c r="D65" s="22">
        <f t="shared" si="4"/>
        <v>0.58545749999999996</v>
      </c>
      <c r="E65" s="17">
        <f t="shared" si="5"/>
        <v>0.58527499999999999</v>
      </c>
      <c r="I65" s="57">
        <v>0.6</v>
      </c>
      <c r="J65" s="19">
        <v>0.42199999999999999</v>
      </c>
    </row>
    <row r="66" spans="1:10">
      <c r="A66" s="20" t="s">
        <v>56</v>
      </c>
      <c r="B66" s="22">
        <v>0.28799999999999998</v>
      </c>
      <c r="D66" s="22">
        <f t="shared" si="4"/>
        <v>0.40701999999999999</v>
      </c>
      <c r="E66" s="17">
        <f t="shared" si="5"/>
        <v>0.40683750000000002</v>
      </c>
      <c r="I66" s="57">
        <v>0.8</v>
      </c>
      <c r="J66" s="19">
        <v>0.57199999999999995</v>
      </c>
    </row>
    <row r="67" spans="1:10">
      <c r="A67" s="20" t="s">
        <v>57</v>
      </c>
      <c r="B67" s="22">
        <v>4.9000000000000002E-2</v>
      </c>
      <c r="D67" s="22">
        <f t="shared" si="4"/>
        <v>6.5847499999999989E-2</v>
      </c>
      <c r="E67" s="17">
        <f t="shared" si="5"/>
        <v>6.5664999999999987E-2</v>
      </c>
      <c r="I67" s="57">
        <v>1</v>
      </c>
      <c r="J67" s="19">
        <v>0.69699999999999995</v>
      </c>
    </row>
    <row r="68" spans="1:10">
      <c r="A68" s="20" t="s">
        <v>58</v>
      </c>
      <c r="B68" s="22">
        <v>3.4000000000000002E-2</v>
      </c>
      <c r="D68" s="22">
        <f t="shared" si="4"/>
        <v>4.4435000000000002E-2</v>
      </c>
      <c r="E68" s="17">
        <f t="shared" si="5"/>
        <v>4.42525E-2</v>
      </c>
    </row>
    <row r="69" spans="1:10">
      <c r="A69" s="20" t="s">
        <v>59</v>
      </c>
      <c r="B69" s="22">
        <v>3.0000000000000001E-3</v>
      </c>
      <c r="D69" s="22">
        <f t="shared" si="4"/>
        <v>1.824999999999995E-4</v>
      </c>
      <c r="E69" s="17">
        <f t="shared" si="5"/>
        <v>0</v>
      </c>
      <c r="I69" s="5" t="s">
        <v>260</v>
      </c>
      <c r="J69" s="61">
        <v>1.4275</v>
      </c>
    </row>
    <row r="70" spans="1:10">
      <c r="A70" s="20" t="s">
        <v>60</v>
      </c>
      <c r="B70" s="22">
        <v>7.0000000000000001E-3</v>
      </c>
      <c r="C70" s="17"/>
      <c r="D70" s="22">
        <f t="shared" si="4"/>
        <v>5.8924999999999993E-3</v>
      </c>
      <c r="E70" s="17">
        <f t="shared" si="5"/>
        <v>5.7099999999999998E-3</v>
      </c>
      <c r="I70" s="5" t="s">
        <v>261</v>
      </c>
      <c r="J70" s="61">
        <v>4.1000000000000003E-3</v>
      </c>
    </row>
    <row r="71" spans="1:10">
      <c r="A71" s="20" t="s">
        <v>61</v>
      </c>
      <c r="B71" s="22">
        <v>8.9999999999999993E-3</v>
      </c>
      <c r="D71" s="22">
        <f t="shared" si="4"/>
        <v>8.7474999999999983E-3</v>
      </c>
      <c r="E71" s="17">
        <f t="shared" si="5"/>
        <v>8.5649999999999997E-3</v>
      </c>
    </row>
    <row r="72" spans="1:10">
      <c r="A72" s="20" t="s">
        <v>62</v>
      </c>
      <c r="B72" s="22">
        <v>2.5000000000000001E-2</v>
      </c>
      <c r="D72" s="22">
        <f t="shared" si="4"/>
        <v>3.1587500000000004E-2</v>
      </c>
      <c r="E72" s="17">
        <f t="shared" si="5"/>
        <v>3.1405000000000002E-2</v>
      </c>
    </row>
    <row r="73" spans="1:10">
      <c r="A73" s="20" t="s">
        <v>63</v>
      </c>
      <c r="B73" s="22">
        <v>0.27800000000000002</v>
      </c>
      <c r="D73" s="22">
        <f t="shared" si="4"/>
        <v>0.39274500000000007</v>
      </c>
      <c r="E73" s="17">
        <f t="shared" si="5"/>
        <v>0.39256250000000009</v>
      </c>
    </row>
    <row r="74" spans="1:10">
      <c r="A74" s="29" t="s">
        <v>64</v>
      </c>
      <c r="B74" s="23">
        <v>1.395</v>
      </c>
      <c r="C74" s="7">
        <v>0.15</v>
      </c>
      <c r="D74" s="22">
        <f>(($J$69*C74)-$J$70)*10</f>
        <v>2.10025</v>
      </c>
      <c r="E74" s="17">
        <f t="shared" si="5"/>
        <v>2.1000674999999998</v>
      </c>
    </row>
    <row r="75" spans="1:10">
      <c r="A75" s="20" t="s">
        <v>65</v>
      </c>
      <c r="B75" s="22">
        <v>0.183</v>
      </c>
      <c r="D75" s="22">
        <f t="shared" si="4"/>
        <v>0.25713249999999999</v>
      </c>
      <c r="E75" s="17">
        <f t="shared" si="5"/>
        <v>0.25695000000000001</v>
      </c>
    </row>
    <row r="76" spans="1:10">
      <c r="A76" s="20" t="s">
        <v>66</v>
      </c>
      <c r="B76" s="22">
        <v>6.0000000000000001E-3</v>
      </c>
      <c r="D76" s="22">
        <f t="shared" si="4"/>
        <v>4.4649999999999994E-3</v>
      </c>
      <c r="E76" s="17">
        <f t="shared" si="5"/>
        <v>4.2824999999999998E-3</v>
      </c>
    </row>
    <row r="77" spans="1:10">
      <c r="A77" s="20" t="s">
        <v>67</v>
      </c>
      <c r="B77" s="22">
        <v>1.6E-2</v>
      </c>
      <c r="D77" s="22">
        <f t="shared" si="4"/>
        <v>1.874E-2</v>
      </c>
      <c r="E77" s="17">
        <f t="shared" si="5"/>
        <v>1.8557500000000001E-2</v>
      </c>
    </row>
    <row r="78" spans="1:10">
      <c r="A78" s="20" t="s">
        <v>68</v>
      </c>
      <c r="B78" s="22">
        <v>0.83299999999999996</v>
      </c>
      <c r="D78" s="22">
        <f t="shared" si="4"/>
        <v>1.1850075</v>
      </c>
      <c r="E78" s="17">
        <f t="shared" si="5"/>
        <v>1.184825</v>
      </c>
    </row>
    <row r="79" spans="1:10">
      <c r="A79" s="20" t="s">
        <v>69</v>
      </c>
      <c r="B79" s="22">
        <v>0.108</v>
      </c>
      <c r="D79" s="22">
        <f t="shared" si="4"/>
        <v>0.15007000000000001</v>
      </c>
      <c r="E79" s="17">
        <f t="shared" si="5"/>
        <v>0.14988750000000001</v>
      </c>
    </row>
    <row r="80" spans="1:10">
      <c r="A80" s="20" t="s">
        <v>70</v>
      </c>
      <c r="B80" s="22">
        <v>4.0000000000000001E-3</v>
      </c>
      <c r="D80" s="22">
        <f t="shared" si="4"/>
        <v>1.6099999999999995E-3</v>
      </c>
      <c r="E80" s="17">
        <f t="shared" si="5"/>
        <v>1.4274999999999999E-3</v>
      </c>
    </row>
    <row r="81" spans="1:11">
      <c r="A81" s="20" t="s">
        <v>71</v>
      </c>
      <c r="B81" s="22">
        <v>4.0000000000000001E-3</v>
      </c>
      <c r="D81" s="22">
        <f t="shared" si="4"/>
        <v>1.6099999999999995E-3</v>
      </c>
      <c r="E81" s="17">
        <f t="shared" si="5"/>
        <v>1.4274999999999999E-3</v>
      </c>
    </row>
    <row r="82" spans="1:11">
      <c r="A82" s="20" t="s">
        <v>72</v>
      </c>
      <c r="B82" s="22">
        <v>5.0000000000000001E-3</v>
      </c>
      <c r="D82" s="22">
        <f t="shared" si="4"/>
        <v>3.0374999999999994E-3</v>
      </c>
      <c r="E82" s="17">
        <f t="shared" si="5"/>
        <v>2.8549999999999999E-3</v>
      </c>
    </row>
    <row r="83" spans="1:11">
      <c r="A83" s="20" t="s">
        <v>73</v>
      </c>
      <c r="B83" s="22">
        <v>3.0000000000000001E-3</v>
      </c>
      <c r="D83" s="22">
        <f t="shared" si="4"/>
        <v>1.824999999999995E-4</v>
      </c>
      <c r="E83" s="17">
        <f t="shared" si="5"/>
        <v>0</v>
      </c>
    </row>
    <row r="84" spans="1:11">
      <c r="A84" s="20" t="s">
        <v>74</v>
      </c>
      <c r="B84" s="22">
        <v>3.0000000000000001E-3</v>
      </c>
      <c r="D84" s="22">
        <f t="shared" si="4"/>
        <v>1.824999999999995E-4</v>
      </c>
      <c r="E84" s="17">
        <f t="shared" si="5"/>
        <v>0</v>
      </c>
    </row>
    <row r="85" spans="1:11">
      <c r="A85" s="20"/>
      <c r="B85" s="22"/>
      <c r="D85" s="22"/>
      <c r="E85" s="17"/>
    </row>
    <row r="86" spans="1:11">
      <c r="A86" s="17"/>
      <c r="B86" s="13" t="s">
        <v>236</v>
      </c>
      <c r="C86" s="13"/>
      <c r="D86" s="5" t="s">
        <v>2</v>
      </c>
      <c r="E86" s="49" t="s">
        <v>19</v>
      </c>
    </row>
    <row r="87" spans="1:11">
      <c r="A87" s="17"/>
      <c r="B87" s="13"/>
      <c r="C87" s="13" t="s">
        <v>103</v>
      </c>
      <c r="D87" s="5" t="s">
        <v>18</v>
      </c>
      <c r="E87" s="49" t="s">
        <v>18</v>
      </c>
    </row>
    <row r="88" spans="1:11">
      <c r="A88" t="s">
        <v>20</v>
      </c>
      <c r="B88" s="13">
        <v>0.373</v>
      </c>
      <c r="C88" s="13"/>
      <c r="D88">
        <f>($J$98*B88)-$J$99</f>
        <v>0.52547120000000003</v>
      </c>
      <c r="E88" s="17">
        <f>D88-$D$112</f>
        <v>0.45119360000000003</v>
      </c>
      <c r="I88" s="62" t="s">
        <v>237</v>
      </c>
      <c r="J88" s="63"/>
    </row>
    <row r="89" spans="1:11">
      <c r="A89" t="s">
        <v>21</v>
      </c>
      <c r="B89" s="13">
        <v>0.28599999999999998</v>
      </c>
      <c r="C89" s="13"/>
      <c r="D89">
        <f t="shared" ref="D89:D112" si="6">($J$98*B89)-$J$99</f>
        <v>0.40241840000000001</v>
      </c>
      <c r="E89" s="17">
        <f t="shared" ref="E89:E112" si="7">D89-$D$112</f>
        <v>0.32814080000000001</v>
      </c>
      <c r="I89" s="64" t="s">
        <v>17</v>
      </c>
      <c r="J89" s="64"/>
    </row>
    <row r="90" spans="1:11">
      <c r="A90" t="s">
        <v>22</v>
      </c>
      <c r="B90" s="13">
        <v>6.6000000000000003E-2</v>
      </c>
      <c r="C90" s="13"/>
      <c r="D90">
        <f t="shared" si="6"/>
        <v>9.1250400000000009E-2</v>
      </c>
      <c r="E90" s="17">
        <f t="shared" si="7"/>
        <v>1.697280000000001E-2</v>
      </c>
      <c r="I90" s="58">
        <v>0</v>
      </c>
      <c r="J90" s="21">
        <v>3.0000000000000001E-3</v>
      </c>
      <c r="K90">
        <f>14.144*J90-0.0207</f>
        <v>2.1732000000000005E-2</v>
      </c>
    </row>
    <row r="91" spans="1:11">
      <c r="A91" s="7" t="s">
        <v>23</v>
      </c>
      <c r="B91" s="11">
        <v>1.98</v>
      </c>
      <c r="C91" s="11">
        <v>0.36899999999999999</v>
      </c>
      <c r="D91">
        <f>(($J$98*C91)-$J$99)*10</f>
        <v>5.1981359999999999</v>
      </c>
      <c r="E91" s="17">
        <f t="shared" si="7"/>
        <v>5.1238583999999996</v>
      </c>
      <c r="I91" s="58">
        <v>0.1</v>
      </c>
      <c r="J91" s="21">
        <v>6.9000000000000006E-2</v>
      </c>
    </row>
    <row r="92" spans="1:11">
      <c r="A92" t="s">
        <v>24</v>
      </c>
      <c r="B92" s="28">
        <v>9.6000000000000002E-2</v>
      </c>
      <c r="C92" s="28"/>
      <c r="D92">
        <f t="shared" si="6"/>
        <v>0.13368240000000003</v>
      </c>
      <c r="E92" s="17">
        <f t="shared" si="7"/>
        <v>5.9404800000000035E-2</v>
      </c>
      <c r="I92" s="58">
        <v>0.2</v>
      </c>
      <c r="J92" s="21">
        <v>0.14099999999999999</v>
      </c>
    </row>
    <row r="93" spans="1:11">
      <c r="A93" s="7" t="s">
        <v>25</v>
      </c>
      <c r="B93" s="30">
        <v>1.4239999999999999</v>
      </c>
      <c r="C93" s="30">
        <v>0.16200000000000001</v>
      </c>
      <c r="D93">
        <f>(($J$98*C93)-$J$99)*10</f>
        <v>2.2703280000000001</v>
      </c>
      <c r="E93" s="17">
        <f t="shared" si="7"/>
        <v>2.1960504000000003</v>
      </c>
      <c r="I93" s="58">
        <v>0.4</v>
      </c>
      <c r="J93" s="21">
        <v>0.29499999999999998</v>
      </c>
    </row>
    <row r="94" spans="1:11">
      <c r="A94" t="s">
        <v>26</v>
      </c>
      <c r="B94" s="1">
        <v>5.0000000000000001E-3</v>
      </c>
      <c r="C94" s="1"/>
      <c r="D94">
        <f t="shared" si="6"/>
        <v>4.9720000000000007E-3</v>
      </c>
      <c r="E94" s="17">
        <f t="shared" si="7"/>
        <v>-6.9305599999999995E-2</v>
      </c>
      <c r="I94" s="58">
        <v>0.6</v>
      </c>
      <c r="J94" s="21">
        <v>0.42499999999999999</v>
      </c>
    </row>
    <row r="95" spans="1:11">
      <c r="A95" t="s">
        <v>27</v>
      </c>
      <c r="B95" s="1">
        <v>6.0000000000000001E-3</v>
      </c>
      <c r="C95" s="1"/>
      <c r="D95">
        <f t="shared" si="6"/>
        <v>6.3864000000000021E-3</v>
      </c>
      <c r="E95" s="17">
        <f t="shared" si="7"/>
        <v>-6.7891199999999999E-2</v>
      </c>
      <c r="I95" s="58">
        <v>0.8</v>
      </c>
      <c r="J95" s="21">
        <v>0.55300000000000005</v>
      </c>
    </row>
    <row r="96" spans="1:11">
      <c r="A96" t="s">
        <v>28</v>
      </c>
      <c r="B96" s="1">
        <v>4.0000000000000001E-3</v>
      </c>
      <c r="C96" s="1"/>
      <c r="D96">
        <f t="shared" si="6"/>
        <v>3.5576000000000006E-3</v>
      </c>
      <c r="E96" s="17">
        <f t="shared" si="7"/>
        <v>-7.0720000000000005E-2</v>
      </c>
      <c r="I96" s="58">
        <v>1</v>
      </c>
      <c r="J96" s="21">
        <v>0.71599999999999997</v>
      </c>
    </row>
    <row r="97" spans="1:10">
      <c r="A97" t="s">
        <v>29</v>
      </c>
      <c r="B97" s="1">
        <v>1.2999999999999999E-2</v>
      </c>
      <c r="C97" s="1"/>
      <c r="D97">
        <f t="shared" si="6"/>
        <v>1.6287199999999998E-2</v>
      </c>
      <c r="E97" s="17">
        <f t="shared" si="7"/>
        <v>-5.7990399999999998E-2</v>
      </c>
    </row>
    <row r="98" spans="1:10">
      <c r="A98" s="7" t="s">
        <v>30</v>
      </c>
      <c r="B98" s="11">
        <v>1.1890000000000001</v>
      </c>
      <c r="C98" s="11">
        <v>0.128</v>
      </c>
      <c r="D98">
        <f>(($J$98*C98)-$J$99)*10</f>
        <v>1.7894320000000001</v>
      </c>
      <c r="E98" s="17">
        <f t="shared" si="7"/>
        <v>1.7151544000000001</v>
      </c>
      <c r="I98" s="5" t="s">
        <v>260</v>
      </c>
      <c r="J98" s="61">
        <v>1.4144000000000001</v>
      </c>
    </row>
    <row r="99" spans="1:10">
      <c r="A99" t="s">
        <v>31</v>
      </c>
      <c r="B99" s="1">
        <v>0.25900000000000001</v>
      </c>
      <c r="C99" s="1"/>
      <c r="D99">
        <f t="shared" si="6"/>
        <v>0.36422960000000004</v>
      </c>
      <c r="E99" s="17">
        <f t="shared" si="7"/>
        <v>0.28995200000000004</v>
      </c>
      <c r="I99" s="5" t="s">
        <v>261</v>
      </c>
      <c r="J99" s="61">
        <v>2.0999999999999999E-3</v>
      </c>
    </row>
    <row r="100" spans="1:10">
      <c r="A100" t="s">
        <v>32</v>
      </c>
      <c r="B100" s="1">
        <v>4.0000000000000001E-3</v>
      </c>
      <c r="C100" s="1"/>
      <c r="D100">
        <f t="shared" si="6"/>
        <v>3.5576000000000006E-3</v>
      </c>
      <c r="E100" s="17">
        <f t="shared" si="7"/>
        <v>-7.0720000000000005E-2</v>
      </c>
    </row>
    <row r="101" spans="1:10">
      <c r="A101" t="s">
        <v>33</v>
      </c>
      <c r="B101" s="1">
        <v>1.6E-2</v>
      </c>
      <c r="C101" s="1"/>
      <c r="D101">
        <f t="shared" si="6"/>
        <v>2.0530400000000001E-2</v>
      </c>
      <c r="E101" s="17">
        <f t="shared" si="7"/>
        <v>-5.3747199999999995E-2</v>
      </c>
    </row>
    <row r="102" spans="1:10">
      <c r="A102" t="s">
        <v>34</v>
      </c>
      <c r="B102" s="1">
        <v>0.01</v>
      </c>
      <c r="C102" s="1"/>
      <c r="D102">
        <f t="shared" si="6"/>
        <v>1.2044000000000003E-2</v>
      </c>
      <c r="E102" s="17">
        <f t="shared" si="7"/>
        <v>-6.22336E-2</v>
      </c>
    </row>
    <row r="103" spans="1:10">
      <c r="A103" t="s">
        <v>35</v>
      </c>
      <c r="B103" s="1">
        <v>5.0000000000000001E-3</v>
      </c>
      <c r="C103" s="1"/>
      <c r="D103">
        <f t="shared" si="6"/>
        <v>4.9720000000000007E-3</v>
      </c>
      <c r="E103" s="17">
        <f t="shared" si="7"/>
        <v>-6.9305599999999995E-2</v>
      </c>
    </row>
    <row r="104" spans="1:10">
      <c r="A104" t="s">
        <v>36</v>
      </c>
      <c r="B104" s="1">
        <v>5.0000000000000001E-3</v>
      </c>
      <c r="C104" s="1"/>
      <c r="D104">
        <f t="shared" si="6"/>
        <v>4.9720000000000007E-3</v>
      </c>
      <c r="E104" s="17">
        <f t="shared" si="7"/>
        <v>-6.9305599999999995E-2</v>
      </c>
    </row>
    <row r="105" spans="1:10">
      <c r="A105" t="s">
        <v>37</v>
      </c>
      <c r="B105" s="1">
        <v>4.0000000000000001E-3</v>
      </c>
      <c r="C105" s="1"/>
      <c r="D105">
        <f t="shared" si="6"/>
        <v>3.5576000000000006E-3</v>
      </c>
      <c r="E105" s="17">
        <f t="shared" si="7"/>
        <v>-7.0720000000000005E-2</v>
      </c>
    </row>
    <row r="106" spans="1:10">
      <c r="A106" t="s">
        <v>38</v>
      </c>
      <c r="B106" s="1">
        <v>8.9999999999999993E-3</v>
      </c>
      <c r="C106" s="1"/>
      <c r="D106">
        <f t="shared" si="6"/>
        <v>1.0629600000000001E-2</v>
      </c>
      <c r="E106" s="17">
        <f t="shared" si="7"/>
        <v>-6.3647999999999996E-2</v>
      </c>
    </row>
    <row r="107" spans="1:10">
      <c r="A107" s="25">
        <v>259</v>
      </c>
      <c r="B107" s="1">
        <v>5.0000000000000001E-3</v>
      </c>
      <c r="C107" s="1"/>
      <c r="D107">
        <f t="shared" si="6"/>
        <v>4.9720000000000007E-3</v>
      </c>
      <c r="E107" s="17">
        <f t="shared" si="7"/>
        <v>-6.9305599999999995E-2</v>
      </c>
    </row>
    <row r="108" spans="1:10">
      <c r="A108" t="s">
        <v>40</v>
      </c>
      <c r="B108" s="1">
        <v>6.0000000000000001E-3</v>
      </c>
      <c r="C108" s="1"/>
      <c r="D108">
        <f t="shared" si="6"/>
        <v>6.3864000000000021E-3</v>
      </c>
      <c r="E108" s="17">
        <f t="shared" si="7"/>
        <v>-6.7891199999999999E-2</v>
      </c>
    </row>
    <row r="109" spans="1:10">
      <c r="A109" t="s">
        <v>41</v>
      </c>
      <c r="B109" s="1">
        <v>7.0000000000000001E-3</v>
      </c>
      <c r="C109" s="1"/>
      <c r="D109">
        <f t="shared" si="6"/>
        <v>7.8008000000000018E-3</v>
      </c>
      <c r="E109" s="17">
        <f t="shared" si="7"/>
        <v>-6.6476800000000003E-2</v>
      </c>
    </row>
    <row r="110" spans="1:10">
      <c r="A110" t="s">
        <v>42</v>
      </c>
      <c r="B110" s="1">
        <v>4.0000000000000001E-3</v>
      </c>
      <c r="C110" s="1"/>
      <c r="D110">
        <f t="shared" si="6"/>
        <v>3.5576000000000006E-3</v>
      </c>
      <c r="E110" s="17">
        <f t="shared" si="7"/>
        <v>-7.0720000000000005E-2</v>
      </c>
    </row>
    <row r="111" spans="1:10">
      <c r="A111" t="s">
        <v>43</v>
      </c>
      <c r="B111" s="1">
        <v>4.0000000000000001E-3</v>
      </c>
      <c r="C111" s="1"/>
      <c r="D111">
        <f t="shared" si="6"/>
        <v>3.5576000000000006E-3</v>
      </c>
      <c r="E111" s="17">
        <f t="shared" si="7"/>
        <v>-7.0720000000000005E-2</v>
      </c>
    </row>
    <row r="112" spans="1:10">
      <c r="A112" s="50" t="s">
        <v>44</v>
      </c>
      <c r="B112" s="51">
        <v>5.3999999999999999E-2</v>
      </c>
      <c r="C112" s="51"/>
      <c r="D112">
        <f t="shared" si="6"/>
        <v>7.4277599999999999E-2</v>
      </c>
      <c r="E112" s="17">
        <f t="shared" si="7"/>
        <v>0</v>
      </c>
      <c r="F112" s="26" t="s">
        <v>263</v>
      </c>
      <c r="G112" s="26"/>
      <c r="H112" s="26"/>
    </row>
    <row r="113" spans="1:10">
      <c r="A113" s="26"/>
      <c r="B113" s="27"/>
      <c r="C113" s="27"/>
      <c r="D113" s="26"/>
      <c r="E113" s="17"/>
    </row>
    <row r="114" spans="1:10">
      <c r="A114" s="17"/>
      <c r="B114" s="13"/>
      <c r="C114" s="13"/>
      <c r="D114" s="5" t="s">
        <v>2</v>
      </c>
      <c r="E114" s="5" t="s">
        <v>19</v>
      </c>
    </row>
    <row r="115" spans="1:10">
      <c r="A115" s="17"/>
      <c r="B115" s="13"/>
      <c r="C115" s="13" t="s">
        <v>103</v>
      </c>
      <c r="D115" s="5" t="s">
        <v>18</v>
      </c>
      <c r="E115" s="5" t="s">
        <v>18</v>
      </c>
      <c r="I115" s="62" t="s">
        <v>238</v>
      </c>
      <c r="J115" s="63"/>
    </row>
    <row r="116" spans="1:10">
      <c r="A116" t="s">
        <v>75</v>
      </c>
      <c r="B116" s="1">
        <v>2.1999999999999999E-2</v>
      </c>
      <c r="C116" s="1"/>
      <c r="D116">
        <f>(B116*$J$125)-$J$126</f>
        <v>2.5892200000000001E-2</v>
      </c>
      <c r="E116" s="17">
        <f>D116</f>
        <v>2.5892200000000001E-2</v>
      </c>
      <c r="I116" s="64" t="s">
        <v>17</v>
      </c>
      <c r="J116" s="64"/>
    </row>
    <row r="117" spans="1:10">
      <c r="A117" t="s">
        <v>76</v>
      </c>
      <c r="B117" s="1">
        <v>0.19700000000000001</v>
      </c>
      <c r="C117" s="1"/>
      <c r="D117">
        <f t="shared" ref="D117:D140" si="8">(B117*$J$125)-$J$126</f>
        <v>0.27003469999999996</v>
      </c>
      <c r="E117" s="17">
        <f>D117</f>
        <v>0.27003469999999996</v>
      </c>
      <c r="I117" s="58">
        <v>0</v>
      </c>
      <c r="J117" s="21">
        <v>3.0000000000000001E-3</v>
      </c>
    </row>
    <row r="118" spans="1:10">
      <c r="A118" s="7" t="s">
        <v>77</v>
      </c>
      <c r="B118" s="11">
        <v>1.5680000000000001</v>
      </c>
      <c r="C118" s="11">
        <v>0.18099999999999999</v>
      </c>
      <c r="D118">
        <f>((C118*$J$125)-$J$126)*10</f>
        <v>2.477131</v>
      </c>
      <c r="E118" s="7">
        <f>D118*10</f>
        <v>24.77131</v>
      </c>
      <c r="I118" s="58">
        <v>0.1</v>
      </c>
      <c r="J118" s="21">
        <v>7.1999999999999995E-2</v>
      </c>
    </row>
    <row r="119" spans="1:10">
      <c r="A119" t="s">
        <v>78</v>
      </c>
      <c r="B119" s="1">
        <v>0.20899999999999999</v>
      </c>
      <c r="C119" s="1"/>
      <c r="D119">
        <f t="shared" si="8"/>
        <v>0.28677589999999997</v>
      </c>
      <c r="E119" s="17">
        <f>D119</f>
        <v>0.28677589999999997</v>
      </c>
      <c r="I119" s="58">
        <v>0.2</v>
      </c>
      <c r="J119" s="21">
        <v>0.14399999999999999</v>
      </c>
    </row>
    <row r="120" spans="1:10">
      <c r="A120" s="26" t="s">
        <v>79</v>
      </c>
      <c r="B120" s="1"/>
      <c r="C120" s="1"/>
      <c r="E120" s="17"/>
      <c r="I120" s="58">
        <v>0.4</v>
      </c>
      <c r="J120" s="21">
        <v>0.30499999999999999</v>
      </c>
    </row>
    <row r="121" spans="1:10">
      <c r="A121" t="s">
        <v>80</v>
      </c>
      <c r="B121" s="1">
        <v>8.9999999999999993E-3</v>
      </c>
      <c r="C121" s="1"/>
      <c r="D121">
        <f t="shared" si="8"/>
        <v>7.7558999999999987E-3</v>
      </c>
      <c r="E121" s="17">
        <f>D121</f>
        <v>7.7558999999999987E-3</v>
      </c>
      <c r="I121" s="58">
        <v>0.6</v>
      </c>
      <c r="J121" s="21">
        <v>0.42399999999999999</v>
      </c>
    </row>
    <row r="122" spans="1:10">
      <c r="A122" t="s">
        <v>81</v>
      </c>
      <c r="B122" s="1">
        <v>2.1000000000000001E-2</v>
      </c>
      <c r="C122" s="1"/>
      <c r="D122">
        <f t="shared" si="8"/>
        <v>2.4497100000000004E-2</v>
      </c>
      <c r="E122" s="17">
        <f>D122</f>
        <v>2.4497100000000004E-2</v>
      </c>
      <c r="I122" s="58">
        <v>0.8</v>
      </c>
      <c r="J122" s="21">
        <v>0.58099999999999996</v>
      </c>
    </row>
    <row r="123" spans="1:10">
      <c r="A123" s="26" t="s">
        <v>82</v>
      </c>
      <c r="B123" s="1"/>
      <c r="C123" s="1"/>
      <c r="E123" s="17"/>
      <c r="I123" s="58">
        <v>1</v>
      </c>
      <c r="J123" s="21">
        <v>0.71699999999999997</v>
      </c>
    </row>
    <row r="124" spans="1:10">
      <c r="A124" s="26" t="s">
        <v>83</v>
      </c>
      <c r="B124" s="1"/>
      <c r="C124" s="1"/>
      <c r="E124" s="17"/>
    </row>
    <row r="125" spans="1:10">
      <c r="A125" s="7" t="s">
        <v>84</v>
      </c>
      <c r="B125" s="1"/>
      <c r="C125" s="1"/>
      <c r="E125" s="17"/>
      <c r="I125" s="5" t="s">
        <v>260</v>
      </c>
      <c r="J125" s="61">
        <v>1.3951</v>
      </c>
    </row>
    <row r="126" spans="1:10">
      <c r="A126" t="s">
        <v>85</v>
      </c>
      <c r="B126" s="1">
        <v>0.121</v>
      </c>
      <c r="C126" s="1"/>
      <c r="D126">
        <f t="shared" si="8"/>
        <v>0.16400709999999999</v>
      </c>
      <c r="E126" s="17">
        <f>D126</f>
        <v>0.16400709999999999</v>
      </c>
      <c r="I126" s="5" t="s">
        <v>261</v>
      </c>
      <c r="J126" s="61">
        <v>4.7999999999999996E-3</v>
      </c>
    </row>
    <row r="127" spans="1:10">
      <c r="A127" t="s">
        <v>86</v>
      </c>
      <c r="B127" s="1">
        <v>0.14599999999999999</v>
      </c>
      <c r="C127" s="1"/>
      <c r="D127">
        <f t="shared" si="8"/>
        <v>0.19888459999999999</v>
      </c>
      <c r="E127" s="17">
        <f t="shared" ref="E127:E128" si="9">D127</f>
        <v>0.19888459999999999</v>
      </c>
    </row>
    <row r="128" spans="1:10">
      <c r="A128" t="s">
        <v>87</v>
      </c>
      <c r="B128" s="1">
        <v>9.9000000000000005E-2</v>
      </c>
      <c r="C128" s="1"/>
      <c r="D128">
        <f t="shared" si="8"/>
        <v>0.13331490000000001</v>
      </c>
      <c r="E128" s="17">
        <f t="shared" si="9"/>
        <v>0.13331490000000001</v>
      </c>
    </row>
    <row r="129" spans="1:6">
      <c r="A129" s="26" t="s">
        <v>88</v>
      </c>
      <c r="B129" s="1"/>
      <c r="C129" s="1"/>
      <c r="E129" s="17"/>
    </row>
    <row r="130" spans="1:6">
      <c r="A130" s="7" t="s">
        <v>89</v>
      </c>
      <c r="B130" s="1"/>
      <c r="C130" s="1"/>
      <c r="E130" s="17"/>
    </row>
    <row r="131" spans="1:6">
      <c r="A131" t="s">
        <v>90</v>
      </c>
      <c r="B131" s="1">
        <v>2.8000000000000001E-2</v>
      </c>
      <c r="C131" s="1"/>
      <c r="D131">
        <f t="shared" si="8"/>
        <v>3.4262800000000003E-2</v>
      </c>
      <c r="E131" s="17">
        <f>D131</f>
        <v>3.4262800000000003E-2</v>
      </c>
    </row>
    <row r="132" spans="1:6">
      <c r="A132" s="26" t="s">
        <v>91</v>
      </c>
      <c r="B132" s="1"/>
      <c r="C132" s="1"/>
      <c r="E132" s="17"/>
    </row>
    <row r="133" spans="1:6">
      <c r="A133" t="s">
        <v>92</v>
      </c>
      <c r="B133" s="1">
        <v>4.9000000000000002E-2</v>
      </c>
      <c r="C133" s="1"/>
      <c r="D133">
        <f t="shared" si="8"/>
        <v>6.3559900000000003E-2</v>
      </c>
      <c r="E133" s="17">
        <f>D133</f>
        <v>6.3559900000000003E-2</v>
      </c>
    </row>
    <row r="134" spans="1:6">
      <c r="A134" s="26" t="s">
        <v>93</v>
      </c>
      <c r="B134" s="1"/>
      <c r="C134" s="1"/>
      <c r="E134" s="17"/>
    </row>
    <row r="135" spans="1:6">
      <c r="A135" s="26" t="s">
        <v>94</v>
      </c>
      <c r="B135" s="1"/>
      <c r="C135" s="1"/>
      <c r="E135" s="17"/>
    </row>
    <row r="136" spans="1:6">
      <c r="A136" s="7" t="s">
        <v>95</v>
      </c>
      <c r="B136" s="1"/>
      <c r="C136" s="1"/>
      <c r="E136" s="17"/>
    </row>
    <row r="137" spans="1:6">
      <c r="A137" t="s">
        <v>96</v>
      </c>
      <c r="B137" s="1">
        <v>0.32100000000000001</v>
      </c>
      <c r="C137" s="1"/>
      <c r="D137">
        <f t="shared" si="8"/>
        <v>0.44302710000000001</v>
      </c>
      <c r="E137" s="17">
        <f>D137</f>
        <v>0.44302710000000001</v>
      </c>
    </row>
    <row r="138" spans="1:6">
      <c r="A138" t="s">
        <v>97</v>
      </c>
      <c r="B138" s="1">
        <v>0.107</v>
      </c>
      <c r="C138" s="1"/>
      <c r="D138">
        <f t="shared" si="8"/>
        <v>0.14447570000000001</v>
      </c>
      <c r="E138" s="17">
        <f>D138</f>
        <v>0.14447570000000001</v>
      </c>
    </row>
    <row r="139" spans="1:6">
      <c r="A139" t="s">
        <v>98</v>
      </c>
      <c r="B139" s="1">
        <v>0.111</v>
      </c>
      <c r="C139" s="1"/>
      <c r="D139">
        <f t="shared" si="8"/>
        <v>0.1500561</v>
      </c>
      <c r="E139" s="17">
        <f>D139</f>
        <v>0.1500561</v>
      </c>
    </row>
    <row r="140" spans="1:6">
      <c r="A140" s="46" t="s">
        <v>99</v>
      </c>
      <c r="B140" s="47">
        <v>3.0000000000000001E-3</v>
      </c>
      <c r="C140" s="47"/>
      <c r="D140">
        <f t="shared" si="8"/>
        <v>-6.1469999999999927E-4</v>
      </c>
      <c r="E140" s="17">
        <v>0</v>
      </c>
    </row>
    <row r="141" spans="1:6">
      <c r="B141" s="1"/>
      <c r="C141" s="1"/>
      <c r="F141" t="s">
        <v>231</v>
      </c>
    </row>
    <row r="142" spans="1:6">
      <c r="A142" s="17"/>
      <c r="B142" s="13" t="s">
        <v>249</v>
      </c>
      <c r="C142" s="13"/>
      <c r="D142" s="5" t="s">
        <v>2</v>
      </c>
      <c r="E142" s="5" t="s">
        <v>19</v>
      </c>
    </row>
    <row r="143" spans="1:6">
      <c r="A143" s="17"/>
      <c r="B143" s="13"/>
      <c r="C143" s="13" t="s">
        <v>103</v>
      </c>
      <c r="D143" s="5" t="s">
        <v>18</v>
      </c>
      <c r="E143" s="5" t="s">
        <v>18</v>
      </c>
    </row>
    <row r="144" spans="1:6">
      <c r="A144" s="7" t="s">
        <v>105</v>
      </c>
      <c r="B144" s="11">
        <v>1.819</v>
      </c>
      <c r="C144" s="11">
        <v>0.247</v>
      </c>
      <c r="D144" s="17">
        <f>10*((C144*$J$156)-$J$157)</f>
        <v>3.447695</v>
      </c>
      <c r="E144" s="17">
        <f>D144-$D$168</f>
        <v>3.4476209999999998</v>
      </c>
    </row>
    <row r="145" spans="1:10">
      <c r="A145" t="s">
        <v>106</v>
      </c>
      <c r="B145" s="1">
        <v>0.57499999999999996</v>
      </c>
      <c r="C145" s="1"/>
      <c r="D145" s="17">
        <f>(B145*$J$156)-$J$157</f>
        <v>0.81003749999999997</v>
      </c>
      <c r="E145" s="17">
        <f t="shared" ref="E145:E168" si="10">D145-$D$168</f>
        <v>0.80996349999999995</v>
      </c>
    </row>
    <row r="146" spans="1:10">
      <c r="A146" s="7" t="s">
        <v>107</v>
      </c>
      <c r="B146" s="11">
        <v>1.391</v>
      </c>
      <c r="C146" s="11">
        <v>0.152</v>
      </c>
      <c r="D146" s="17">
        <f>10*((C146*$J$156)-$J$157)</f>
        <v>2.10012</v>
      </c>
      <c r="E146" s="17">
        <f t="shared" si="10"/>
        <v>2.1000459999999999</v>
      </c>
      <c r="I146" s="62" t="s">
        <v>239</v>
      </c>
      <c r="J146" s="63"/>
    </row>
    <row r="147" spans="1:10">
      <c r="A147" s="7" t="s">
        <v>108</v>
      </c>
      <c r="B147" s="11">
        <v>1.929</v>
      </c>
      <c r="C147" s="7"/>
      <c r="D147" s="17">
        <f>100*((F147*$J$156)-$J$157)</f>
        <v>10.504300000000001</v>
      </c>
      <c r="E147" s="17">
        <f t="shared" si="10"/>
        <v>10.504226000000001</v>
      </c>
      <c r="F147" s="11">
        <v>7.8E-2</v>
      </c>
      <c r="I147" s="64" t="s">
        <v>17</v>
      </c>
      <c r="J147" s="64"/>
    </row>
    <row r="148" spans="1:10">
      <c r="A148" t="s">
        <v>109</v>
      </c>
      <c r="B148" s="1">
        <v>0.52600000000000002</v>
      </c>
      <c r="C148" s="1"/>
      <c r="D148" s="17">
        <f t="shared" ref="D148:D168" si="11">(B148*$J$156)-$J$157</f>
        <v>0.74053100000000005</v>
      </c>
      <c r="E148" s="17">
        <f t="shared" si="10"/>
        <v>0.74045700000000003</v>
      </c>
      <c r="I148" s="58">
        <v>0</v>
      </c>
      <c r="J148" s="21">
        <v>4.0000000000000001E-3</v>
      </c>
    </row>
    <row r="149" spans="1:10">
      <c r="A149" t="s">
        <v>110</v>
      </c>
      <c r="B149" s="1">
        <v>0.17599999999999999</v>
      </c>
      <c r="C149" s="1"/>
      <c r="D149" s="17">
        <f t="shared" si="11"/>
        <v>0.244056</v>
      </c>
      <c r="E149" s="17">
        <f t="shared" si="10"/>
        <v>0.243982</v>
      </c>
      <c r="I149" s="58">
        <v>0.1</v>
      </c>
      <c r="J149" s="21">
        <v>7.0999999999999994E-2</v>
      </c>
    </row>
    <row r="150" spans="1:10">
      <c r="A150" t="s">
        <v>111</v>
      </c>
      <c r="B150" s="1">
        <v>4.2999999999999997E-2</v>
      </c>
      <c r="C150" s="1"/>
      <c r="D150" s="17">
        <f t="shared" si="11"/>
        <v>5.53955E-2</v>
      </c>
      <c r="E150" s="17">
        <f t="shared" si="10"/>
        <v>5.5321500000000003E-2</v>
      </c>
      <c r="I150" s="58">
        <v>0.2</v>
      </c>
      <c r="J150" s="21">
        <v>0.14499999999999999</v>
      </c>
    </row>
    <row r="151" spans="1:10">
      <c r="A151" t="s">
        <v>112</v>
      </c>
      <c r="B151" s="1">
        <v>0.30299999999999999</v>
      </c>
      <c r="C151" s="1"/>
      <c r="D151" s="17">
        <f t="shared" si="11"/>
        <v>0.42420550000000001</v>
      </c>
      <c r="E151" s="17">
        <f t="shared" si="10"/>
        <v>0.42413149999999999</v>
      </c>
      <c r="I151" s="58">
        <v>0.4</v>
      </c>
      <c r="J151" s="21">
        <v>0.28999999999999998</v>
      </c>
    </row>
    <row r="152" spans="1:10">
      <c r="A152" t="s">
        <v>113</v>
      </c>
      <c r="B152" s="1">
        <v>0.29799999999999999</v>
      </c>
      <c r="C152" s="1"/>
      <c r="D152" s="17">
        <f t="shared" si="11"/>
        <v>0.41711300000000001</v>
      </c>
      <c r="E152" s="17">
        <f t="shared" si="10"/>
        <v>0.41703899999999999</v>
      </c>
      <c r="I152" s="58">
        <v>0.6</v>
      </c>
      <c r="J152" s="21">
        <v>0.43099999999999999</v>
      </c>
    </row>
    <row r="153" spans="1:10">
      <c r="A153" s="53" t="s">
        <v>114</v>
      </c>
      <c r="B153" s="11">
        <v>1.4850000000000001</v>
      </c>
      <c r="C153" s="11">
        <v>0.16800000000000001</v>
      </c>
      <c r="D153" s="17">
        <f>10*((C153*$J$156)-$J$157)</f>
        <v>2.3270800000000005</v>
      </c>
      <c r="E153" s="17">
        <f t="shared" si="10"/>
        <v>2.3270060000000004</v>
      </c>
      <c r="I153" s="58">
        <v>0.8</v>
      </c>
      <c r="J153" s="21">
        <v>0.56299999999999994</v>
      </c>
    </row>
    <row r="154" spans="1:10">
      <c r="A154" s="53" t="s">
        <v>115</v>
      </c>
      <c r="B154" s="11">
        <v>1.9219999999999999</v>
      </c>
      <c r="C154" s="11">
        <v>0.32200000000000001</v>
      </c>
      <c r="D154" s="17">
        <f>10*((C154*$J$156)-$J$157)</f>
        <v>4.5115700000000007</v>
      </c>
      <c r="E154" s="17">
        <f t="shared" si="10"/>
        <v>4.5114960000000011</v>
      </c>
      <c r="I154" s="58">
        <v>1</v>
      </c>
      <c r="J154" s="21">
        <v>0.70899999999999996</v>
      </c>
    </row>
    <row r="155" spans="1:10">
      <c r="A155" s="7" t="s">
        <v>116</v>
      </c>
      <c r="B155" s="11">
        <v>1.9430000000000001</v>
      </c>
      <c r="C155" s="11"/>
      <c r="D155" s="17">
        <f>100*((F155*$J$156)-$J$157)</f>
        <v>10.220600000000001</v>
      </c>
      <c r="E155" s="17">
        <f t="shared" si="10"/>
        <v>10.220526000000001</v>
      </c>
      <c r="F155" s="7">
        <v>7.5999999999999998E-2</v>
      </c>
    </row>
    <row r="156" spans="1:10">
      <c r="A156" s="53" t="s">
        <v>117</v>
      </c>
      <c r="B156" s="11">
        <v>1.909</v>
      </c>
      <c r="C156" s="11">
        <v>0.33</v>
      </c>
      <c r="D156" s="17">
        <f>10*((C156*$J$156)-$J$157)</f>
        <v>4.6250500000000008</v>
      </c>
      <c r="E156" s="17">
        <f t="shared" si="10"/>
        <v>4.6249760000000011</v>
      </c>
      <c r="I156" s="5" t="s">
        <v>260</v>
      </c>
      <c r="J156" s="61">
        <v>1.4185000000000001</v>
      </c>
    </row>
    <row r="157" spans="1:10">
      <c r="A157" t="s">
        <v>118</v>
      </c>
      <c r="B157">
        <v>0.33900000000000002</v>
      </c>
      <c r="C157" s="1"/>
      <c r="D157" s="17">
        <f t="shared" si="11"/>
        <v>0.47527150000000007</v>
      </c>
      <c r="E157" s="17">
        <f t="shared" si="10"/>
        <v>0.47519750000000005</v>
      </c>
      <c r="I157" s="5" t="s">
        <v>261</v>
      </c>
      <c r="J157" s="61">
        <v>5.5999999999999999E-3</v>
      </c>
    </row>
    <row r="158" spans="1:10">
      <c r="A158" t="s">
        <v>119</v>
      </c>
      <c r="B158" s="1">
        <v>2.1999999999999999E-2</v>
      </c>
      <c r="C158" s="1"/>
      <c r="D158" s="17">
        <f t="shared" si="11"/>
        <v>2.5606999999999998E-2</v>
      </c>
      <c r="E158" s="17">
        <f t="shared" si="10"/>
        <v>2.5532999999999997E-2</v>
      </c>
    </row>
    <row r="159" spans="1:10">
      <c r="A159" t="s">
        <v>120</v>
      </c>
      <c r="B159" s="1">
        <v>1.4E-2</v>
      </c>
      <c r="C159" s="1"/>
      <c r="D159" s="17">
        <f t="shared" si="11"/>
        <v>1.4259000000000001E-2</v>
      </c>
      <c r="E159" s="17">
        <f t="shared" si="10"/>
        <v>1.4185E-2</v>
      </c>
    </row>
    <row r="160" spans="1:10">
      <c r="A160" t="s">
        <v>121</v>
      </c>
      <c r="B160" s="1">
        <v>1.0489999999999999</v>
      </c>
      <c r="C160" s="1"/>
      <c r="D160" s="17">
        <f t="shared" si="11"/>
        <v>1.4824065</v>
      </c>
      <c r="E160" s="17">
        <f t="shared" si="10"/>
        <v>1.4823325000000001</v>
      </c>
    </row>
    <row r="161" spans="1:10">
      <c r="A161" s="53" t="s">
        <v>122</v>
      </c>
      <c r="B161" s="11">
        <v>1.9530000000000001</v>
      </c>
      <c r="C161" s="11"/>
      <c r="D161" s="17">
        <f>100*((F161*$J$156)-$J$157)</f>
        <v>29.2285</v>
      </c>
      <c r="E161" s="17">
        <f t="shared" si="10"/>
        <v>29.228425999999999</v>
      </c>
      <c r="F161" s="7">
        <v>0.21</v>
      </c>
    </row>
    <row r="162" spans="1:10">
      <c r="A162" s="7" t="s">
        <v>123</v>
      </c>
      <c r="B162" s="11">
        <v>1.593</v>
      </c>
      <c r="C162" s="11">
        <v>0.189</v>
      </c>
      <c r="D162" s="17">
        <f>10*((C162*$J$156)-$J$157)</f>
        <v>2.6249650000000004</v>
      </c>
      <c r="E162" s="17">
        <f t="shared" si="10"/>
        <v>2.6248910000000003</v>
      </c>
    </row>
    <row r="163" spans="1:10">
      <c r="A163" s="7" t="s">
        <v>124</v>
      </c>
      <c r="B163" s="11">
        <v>1.952</v>
      </c>
      <c r="C163" s="11"/>
      <c r="D163" s="17">
        <f>100*((F163*$J$156)-$J$157)</f>
        <v>5.6814</v>
      </c>
      <c r="E163" s="17">
        <f t="shared" si="10"/>
        <v>5.6813260000000003</v>
      </c>
      <c r="F163" s="7">
        <v>4.3999999999999997E-2</v>
      </c>
    </row>
    <row r="164" spans="1:10">
      <c r="A164" t="s">
        <v>125</v>
      </c>
      <c r="B164" s="1">
        <v>0.25900000000000001</v>
      </c>
      <c r="C164" s="1"/>
      <c r="D164" s="17">
        <f t="shared" si="11"/>
        <v>0.36179150000000004</v>
      </c>
      <c r="E164" s="17">
        <f t="shared" si="10"/>
        <v>0.36171750000000003</v>
      </c>
    </row>
    <row r="165" spans="1:10">
      <c r="A165" t="s">
        <v>126</v>
      </c>
      <c r="B165" s="1">
        <v>4.3999999999999997E-2</v>
      </c>
      <c r="C165" s="1"/>
      <c r="D165" s="17">
        <f t="shared" si="11"/>
        <v>5.6813999999999996E-2</v>
      </c>
      <c r="E165" s="17">
        <f t="shared" si="10"/>
        <v>5.6739999999999999E-2</v>
      </c>
    </row>
    <row r="166" spans="1:10">
      <c r="A166" t="s">
        <v>127</v>
      </c>
      <c r="B166" s="1">
        <v>0.08</v>
      </c>
      <c r="C166" s="1"/>
      <c r="D166" s="17">
        <f t="shared" si="11"/>
        <v>0.10788000000000002</v>
      </c>
      <c r="E166" s="17">
        <f t="shared" si="10"/>
        <v>0.10780600000000001</v>
      </c>
    </row>
    <row r="167" spans="1:10">
      <c r="A167" t="s">
        <v>128</v>
      </c>
      <c r="B167" s="1">
        <v>3.7999999999999999E-2</v>
      </c>
      <c r="C167" s="1"/>
      <c r="D167" s="17">
        <f t="shared" si="11"/>
        <v>4.8302999999999999E-2</v>
      </c>
      <c r="E167" s="17">
        <f t="shared" si="10"/>
        <v>4.8229000000000001E-2</v>
      </c>
    </row>
    <row r="168" spans="1:10">
      <c r="A168" t="s">
        <v>129</v>
      </c>
      <c r="B168" s="1">
        <v>4.0000000000000001E-3</v>
      </c>
      <c r="C168" s="1"/>
      <c r="D168" s="17">
        <f t="shared" si="11"/>
        <v>7.4000000000000281E-5</v>
      </c>
      <c r="E168" s="17">
        <f t="shared" si="10"/>
        <v>0</v>
      </c>
    </row>
    <row r="169" spans="1:10">
      <c r="A169" s="17"/>
      <c r="B169" s="13"/>
      <c r="C169" s="13"/>
      <c r="D169" s="5" t="s">
        <v>2</v>
      </c>
      <c r="E169" s="5" t="s">
        <v>19</v>
      </c>
    </row>
    <row r="170" spans="1:10">
      <c r="A170" s="17"/>
      <c r="B170" s="13"/>
      <c r="C170" s="13" t="s">
        <v>103</v>
      </c>
      <c r="D170" s="5" t="s">
        <v>18</v>
      </c>
      <c r="E170" s="5" t="s">
        <v>18</v>
      </c>
    </row>
    <row r="171" spans="1:10">
      <c r="A171" t="s">
        <v>130</v>
      </c>
      <c r="B171" s="1">
        <v>0.441</v>
      </c>
      <c r="C171" s="1"/>
      <c r="D171" s="17">
        <f>(B171*$J$181)-$J$182</f>
        <v>0.6157975</v>
      </c>
      <c r="E171" s="17">
        <f>D171-$D$195</f>
        <v>0.60931000000000002</v>
      </c>
      <c r="I171" s="62" t="s">
        <v>240</v>
      </c>
      <c r="J171" s="63"/>
    </row>
    <row r="172" spans="1:10">
      <c r="A172" t="s">
        <v>131</v>
      </c>
      <c r="B172" s="1">
        <v>4.4999999999999998E-2</v>
      </c>
      <c r="C172" s="1"/>
      <c r="D172" s="17">
        <f t="shared" ref="D172:D195" si="12">(B172*$J$181)-$J$182</f>
        <v>6.2387499999999999E-2</v>
      </c>
      <c r="E172" s="17">
        <f t="shared" ref="E172:E195" si="13">D172-$D$195</f>
        <v>5.5899999999999998E-2</v>
      </c>
      <c r="I172" s="64" t="s">
        <v>17</v>
      </c>
      <c r="J172" s="64"/>
    </row>
    <row r="173" spans="1:10">
      <c r="A173" t="s">
        <v>132</v>
      </c>
      <c r="B173" s="1">
        <v>3.5999999999999997E-2</v>
      </c>
      <c r="C173" s="1"/>
      <c r="D173" s="17">
        <f t="shared" si="12"/>
        <v>4.9809999999999993E-2</v>
      </c>
      <c r="E173" s="17">
        <f t="shared" si="13"/>
        <v>4.3322499999999993E-2</v>
      </c>
      <c r="I173" s="58">
        <v>0</v>
      </c>
      <c r="J173" s="21">
        <v>5.0000000000000001E-3</v>
      </c>
    </row>
    <row r="174" spans="1:10">
      <c r="A174" s="25">
        <v>409</v>
      </c>
      <c r="B174" s="1">
        <v>0.68200000000000005</v>
      </c>
      <c r="C174" s="1"/>
      <c r="D174" s="17">
        <f t="shared" si="12"/>
        <v>0.95259500000000008</v>
      </c>
      <c r="E174" s="17">
        <f t="shared" si="13"/>
        <v>0.9461075000000001</v>
      </c>
      <c r="I174" s="58">
        <v>0.1</v>
      </c>
      <c r="J174" s="21">
        <v>7.0999999999999994E-2</v>
      </c>
    </row>
    <row r="175" spans="1:10">
      <c r="A175" t="s">
        <v>133</v>
      </c>
      <c r="B175" s="1">
        <v>1.4E-2</v>
      </c>
      <c r="C175" s="1"/>
      <c r="D175" s="17">
        <f t="shared" si="12"/>
        <v>1.9064999999999999E-2</v>
      </c>
      <c r="E175" s="17">
        <f t="shared" si="13"/>
        <v>1.2577499999999998E-2</v>
      </c>
      <c r="I175" s="58">
        <v>0.2</v>
      </c>
      <c r="J175" s="21">
        <v>0.14699999999999999</v>
      </c>
    </row>
    <row r="176" spans="1:10">
      <c r="A176" t="s">
        <v>134</v>
      </c>
      <c r="B176" s="1">
        <v>0.33400000000000002</v>
      </c>
      <c r="C176" s="1"/>
      <c r="D176" s="17">
        <f t="shared" si="12"/>
        <v>0.46626500000000004</v>
      </c>
      <c r="E176" s="17">
        <f t="shared" si="13"/>
        <v>0.45977750000000006</v>
      </c>
      <c r="I176" s="58">
        <v>0.4</v>
      </c>
      <c r="J176" s="21">
        <v>0.28299999999999997</v>
      </c>
    </row>
    <row r="177" spans="1:11">
      <c r="A177" t="s">
        <v>135</v>
      </c>
      <c r="B177" s="1">
        <v>0.52300000000000002</v>
      </c>
      <c r="C177" s="1"/>
      <c r="D177" s="17">
        <f t="shared" si="12"/>
        <v>0.73039250000000011</v>
      </c>
      <c r="E177" s="17">
        <f t="shared" si="13"/>
        <v>0.72390500000000013</v>
      </c>
      <c r="I177" s="58">
        <v>0.6</v>
      </c>
      <c r="J177" s="31">
        <v>0.41499999999999998</v>
      </c>
      <c r="K177" s="17"/>
    </row>
    <row r="178" spans="1:11">
      <c r="A178" t="s">
        <v>136</v>
      </c>
      <c r="B178" s="1">
        <v>0.17599999999999999</v>
      </c>
      <c r="C178" s="1"/>
      <c r="D178" s="17">
        <f t="shared" si="12"/>
        <v>0.24545999999999998</v>
      </c>
      <c r="E178" s="17">
        <f t="shared" si="13"/>
        <v>0.23897249999999998</v>
      </c>
      <c r="I178" s="58">
        <v>0.8</v>
      </c>
      <c r="J178" s="21">
        <v>0.58299999999999996</v>
      </c>
    </row>
    <row r="179" spans="1:11">
      <c r="A179" t="s">
        <v>137</v>
      </c>
      <c r="B179" s="1">
        <v>0.11</v>
      </c>
      <c r="C179" s="1"/>
      <c r="D179" s="17">
        <f t="shared" si="12"/>
        <v>0.153225</v>
      </c>
      <c r="E179" s="17">
        <f t="shared" si="13"/>
        <v>0.14673749999999999</v>
      </c>
      <c r="I179" s="58">
        <v>1</v>
      </c>
      <c r="J179" s="21">
        <v>0.71699999999999997</v>
      </c>
    </row>
    <row r="180" spans="1:11">
      <c r="A180" t="s">
        <v>138</v>
      </c>
      <c r="B180" s="1">
        <v>2.8000000000000001E-2</v>
      </c>
      <c r="C180" s="1"/>
      <c r="D180" s="17">
        <f t="shared" si="12"/>
        <v>3.8629999999999998E-2</v>
      </c>
      <c r="E180" s="17">
        <f t="shared" si="13"/>
        <v>3.2142499999999997E-2</v>
      </c>
    </row>
    <row r="181" spans="1:11">
      <c r="A181" t="s">
        <v>139</v>
      </c>
      <c r="B181" s="1">
        <v>1.4E-2</v>
      </c>
      <c r="C181" s="1"/>
      <c r="D181" s="17">
        <f t="shared" si="12"/>
        <v>1.9064999999999999E-2</v>
      </c>
      <c r="E181" s="17">
        <f t="shared" si="13"/>
        <v>1.2577499999999998E-2</v>
      </c>
      <c r="I181" s="5" t="s">
        <v>260</v>
      </c>
      <c r="J181" s="61">
        <v>1.3975</v>
      </c>
    </row>
    <row r="182" spans="1:11">
      <c r="A182" s="7" t="s">
        <v>140</v>
      </c>
      <c r="B182" s="11">
        <v>1.948</v>
      </c>
      <c r="C182" s="11">
        <v>0.61399999999999999</v>
      </c>
      <c r="D182" s="17">
        <f>((C182*$J$181)-$J$182)*10</f>
        <v>8.5756499999999996</v>
      </c>
      <c r="E182" s="17">
        <f t="shared" si="13"/>
        <v>8.5691624999999991</v>
      </c>
      <c r="I182" s="5" t="s">
        <v>261</v>
      </c>
      <c r="J182" s="61">
        <v>5.0000000000000001E-4</v>
      </c>
    </row>
    <row r="183" spans="1:11">
      <c r="A183" t="s">
        <v>141</v>
      </c>
      <c r="B183" s="1">
        <v>0.01</v>
      </c>
      <c r="C183" s="1"/>
      <c r="D183" s="17">
        <f t="shared" si="12"/>
        <v>1.3474999999999999E-2</v>
      </c>
      <c r="E183" s="17">
        <f t="shared" si="13"/>
        <v>6.9874999999999989E-3</v>
      </c>
    </row>
    <row r="184" spans="1:11">
      <c r="A184" t="s">
        <v>142</v>
      </c>
      <c r="B184" s="1">
        <v>3.3000000000000002E-2</v>
      </c>
      <c r="C184" s="1"/>
      <c r="D184" s="17">
        <f t="shared" si="12"/>
        <v>4.5617499999999998E-2</v>
      </c>
      <c r="E184" s="17">
        <f t="shared" si="13"/>
        <v>3.9129999999999998E-2</v>
      </c>
    </row>
    <row r="185" spans="1:11">
      <c r="A185" t="s">
        <v>143</v>
      </c>
      <c r="B185" s="1">
        <v>2.9000000000000001E-2</v>
      </c>
      <c r="C185" s="1"/>
      <c r="D185" s="17">
        <f t="shared" si="12"/>
        <v>4.0027500000000001E-2</v>
      </c>
      <c r="E185" s="17">
        <f t="shared" si="13"/>
        <v>3.354E-2</v>
      </c>
    </row>
    <row r="186" spans="1:11">
      <c r="A186" t="s">
        <v>144</v>
      </c>
      <c r="B186" s="1">
        <v>9.5000000000000001E-2</v>
      </c>
      <c r="C186" s="1"/>
      <c r="D186" s="17">
        <f t="shared" si="12"/>
        <v>0.13226250000000001</v>
      </c>
      <c r="E186" s="17">
        <f t="shared" si="13"/>
        <v>0.125775</v>
      </c>
    </row>
    <row r="187" spans="1:11">
      <c r="A187" t="s">
        <v>145</v>
      </c>
      <c r="B187" s="1">
        <v>0.38400000000000001</v>
      </c>
      <c r="C187" s="1"/>
      <c r="D187" s="17">
        <f t="shared" si="12"/>
        <v>0.53614000000000006</v>
      </c>
      <c r="E187" s="17">
        <f t="shared" si="13"/>
        <v>0.52965250000000008</v>
      </c>
    </row>
    <row r="188" spans="1:11">
      <c r="A188" t="s">
        <v>146</v>
      </c>
      <c r="B188" s="1">
        <v>0.10299999999999999</v>
      </c>
      <c r="C188" s="1"/>
      <c r="D188" s="17">
        <f t="shared" si="12"/>
        <v>0.1434425</v>
      </c>
      <c r="E188" s="17">
        <f t="shared" si="13"/>
        <v>0.13695499999999999</v>
      </c>
    </row>
    <row r="189" spans="1:11">
      <c r="A189" t="s">
        <v>147</v>
      </c>
      <c r="B189" s="1">
        <v>0.17799999999999999</v>
      </c>
      <c r="C189" s="1"/>
      <c r="D189" s="17">
        <f t="shared" si="12"/>
        <v>0.24825499999999998</v>
      </c>
      <c r="E189" s="17">
        <f t="shared" si="13"/>
        <v>0.24176749999999997</v>
      </c>
    </row>
    <row r="190" spans="1:11">
      <c r="A190" t="s">
        <v>148</v>
      </c>
      <c r="B190" s="1">
        <v>0.107</v>
      </c>
      <c r="C190" s="1"/>
      <c r="D190" s="17">
        <f t="shared" si="12"/>
        <v>0.14903249999999998</v>
      </c>
      <c r="E190" s="17">
        <f t="shared" si="13"/>
        <v>0.14254499999999998</v>
      </c>
    </row>
    <row r="191" spans="1:11">
      <c r="A191" t="s">
        <v>149</v>
      </c>
      <c r="B191" s="1">
        <v>5.8000000000000003E-2</v>
      </c>
      <c r="C191" s="1"/>
      <c r="D191" s="17">
        <f t="shared" si="12"/>
        <v>8.0555000000000002E-2</v>
      </c>
      <c r="E191" s="17">
        <f t="shared" si="13"/>
        <v>7.4067500000000008E-2</v>
      </c>
    </row>
    <row r="192" spans="1:11">
      <c r="A192" t="s">
        <v>150</v>
      </c>
      <c r="B192" s="1">
        <v>1.4999999999999999E-2</v>
      </c>
      <c r="C192" s="1"/>
      <c r="D192" s="17">
        <f t="shared" si="12"/>
        <v>2.0462499999999998E-2</v>
      </c>
      <c r="E192" s="17">
        <f t="shared" si="13"/>
        <v>1.3974999999999998E-2</v>
      </c>
    </row>
    <row r="193" spans="1:10">
      <c r="A193" t="s">
        <v>151</v>
      </c>
      <c r="B193" s="1">
        <v>4.7E-2</v>
      </c>
      <c r="C193" s="1"/>
      <c r="D193" s="17">
        <f t="shared" si="12"/>
        <v>6.5182500000000004E-2</v>
      </c>
      <c r="E193" s="17">
        <f t="shared" si="13"/>
        <v>5.8695000000000004E-2</v>
      </c>
    </row>
    <row r="194" spans="1:10">
      <c r="A194" t="s">
        <v>152</v>
      </c>
      <c r="B194" s="1">
        <v>4.5999999999999999E-2</v>
      </c>
      <c r="C194" s="1"/>
      <c r="D194" s="17">
        <f t="shared" si="12"/>
        <v>6.3784999999999994E-2</v>
      </c>
      <c r="E194" s="17">
        <f t="shared" si="13"/>
        <v>5.7297499999999994E-2</v>
      </c>
    </row>
    <row r="195" spans="1:10">
      <c r="A195" t="s">
        <v>153</v>
      </c>
      <c r="B195" s="1">
        <v>5.0000000000000001E-3</v>
      </c>
      <c r="C195" s="1"/>
      <c r="D195" s="17">
        <f t="shared" si="12"/>
        <v>6.4875000000000002E-3</v>
      </c>
      <c r="E195" s="17">
        <f t="shared" si="13"/>
        <v>0</v>
      </c>
    </row>
    <row r="196" spans="1:10">
      <c r="B196" s="1"/>
      <c r="C196" s="1"/>
      <c r="D196" s="17"/>
    </row>
    <row r="197" spans="1:10">
      <c r="A197" s="17"/>
      <c r="B197" s="13"/>
      <c r="C197" s="13"/>
      <c r="D197" s="5" t="s">
        <v>2</v>
      </c>
      <c r="E197" s="5" t="s">
        <v>19</v>
      </c>
      <c r="F197" t="s">
        <v>231</v>
      </c>
    </row>
    <row r="198" spans="1:10">
      <c r="A198" s="17"/>
      <c r="B198" s="13"/>
      <c r="C198" s="13" t="s">
        <v>103</v>
      </c>
      <c r="D198" s="5" t="s">
        <v>18</v>
      </c>
      <c r="E198" s="5" t="s">
        <v>18</v>
      </c>
    </row>
    <row r="199" spans="1:10">
      <c r="A199" t="s">
        <v>154</v>
      </c>
      <c r="B199" s="1">
        <v>7.9000000000000001E-2</v>
      </c>
      <c r="C199" s="1"/>
      <c r="D199" s="17">
        <f>(B199*$J$209)-$J$210</f>
        <v>0.1063949</v>
      </c>
      <c r="E199" s="17">
        <f>D199-$D$223</f>
        <v>0.1075294</v>
      </c>
      <c r="I199" s="62" t="s">
        <v>241</v>
      </c>
      <c r="J199" s="63"/>
    </row>
    <row r="200" spans="1:10">
      <c r="A200" t="s">
        <v>155</v>
      </c>
      <c r="B200" s="1">
        <v>6.0999999999999999E-2</v>
      </c>
      <c r="C200" s="1"/>
      <c r="D200" s="17">
        <f t="shared" ref="D200:D223" si="14">(B200*$J$209)-$J$210</f>
        <v>8.0239099999999994E-2</v>
      </c>
      <c r="E200" s="17">
        <f t="shared" ref="E200:E201" si="15">D200</f>
        <v>8.0239099999999994E-2</v>
      </c>
      <c r="I200" s="64" t="s">
        <v>17</v>
      </c>
      <c r="J200" s="64"/>
    </row>
    <row r="201" spans="1:10">
      <c r="A201" t="s">
        <v>156</v>
      </c>
      <c r="B201" s="1">
        <v>1.4770000000000001</v>
      </c>
      <c r="C201" s="1"/>
      <c r="D201" s="17">
        <f t="shared" si="14"/>
        <v>2.1378287000000005</v>
      </c>
      <c r="E201" s="17">
        <f t="shared" si="15"/>
        <v>2.1378287000000005</v>
      </c>
      <c r="I201" s="58">
        <v>0</v>
      </c>
      <c r="J201" s="21">
        <v>4.0000000000000001E-3</v>
      </c>
    </row>
    <row r="202" spans="1:10">
      <c r="A202" s="33" t="s">
        <v>157</v>
      </c>
      <c r="B202" s="32">
        <v>1.988</v>
      </c>
      <c r="C202" s="32">
        <v>1.6970000000000001</v>
      </c>
      <c r="D202" s="17">
        <f>((F202*$J$209)-$J$210)*100</f>
        <v>28.803239999999995</v>
      </c>
      <c r="E202" s="7">
        <f>D202*100</f>
        <v>2880.3239999999996</v>
      </c>
      <c r="F202" s="7">
        <v>0.20399999999999999</v>
      </c>
      <c r="I202" s="58">
        <v>0.1</v>
      </c>
      <c r="J202" s="21">
        <v>7.1999999999999995E-2</v>
      </c>
    </row>
    <row r="203" spans="1:10">
      <c r="A203" s="7" t="s">
        <v>158</v>
      </c>
      <c r="B203" s="11">
        <v>1.984</v>
      </c>
      <c r="C203" s="11">
        <v>0.6</v>
      </c>
      <c r="D203" s="17">
        <f>10*((C203*$J$209)-$J$210)</f>
        <v>8.6346000000000007</v>
      </c>
      <c r="E203" s="7">
        <f>D203*10</f>
        <v>86.346000000000004</v>
      </c>
      <c r="F203" s="17"/>
      <c r="I203" s="58">
        <v>0.2</v>
      </c>
      <c r="J203" s="21">
        <v>0.14699999999999999</v>
      </c>
    </row>
    <row r="204" spans="1:10">
      <c r="A204" s="7" t="s">
        <v>159</v>
      </c>
      <c r="B204" s="11">
        <v>1.9490000000000001</v>
      </c>
      <c r="C204" s="11">
        <v>0.29299999999999998</v>
      </c>
      <c r="D204" s="17">
        <f>10*((C204*$J$209)-$J$210)</f>
        <v>4.1735829999999998</v>
      </c>
      <c r="E204" s="7">
        <f>D204*10</f>
        <v>41.73583</v>
      </c>
      <c r="F204" s="17"/>
      <c r="I204" s="58">
        <v>0.4</v>
      </c>
      <c r="J204" s="21">
        <v>0.28299999999999997</v>
      </c>
    </row>
    <row r="205" spans="1:10">
      <c r="A205" s="7" t="s">
        <v>160</v>
      </c>
      <c r="B205" s="11">
        <v>1.9039999999999999</v>
      </c>
      <c r="C205" s="11">
        <v>1.5349999999999999</v>
      </c>
      <c r="D205" s="17">
        <f>((F205*$J$209)-$J$210)*100</f>
        <v>24.87987</v>
      </c>
      <c r="E205" s="7">
        <f t="shared" ref="E205" si="16">D205*100</f>
        <v>2487.9870000000001</v>
      </c>
      <c r="F205" s="7">
        <v>0.17699999999999999</v>
      </c>
      <c r="I205" s="58">
        <v>0.6</v>
      </c>
      <c r="J205" s="21">
        <v>0.42099999999999999</v>
      </c>
    </row>
    <row r="206" spans="1:10">
      <c r="A206" t="s">
        <v>161</v>
      </c>
      <c r="B206" s="1">
        <v>0.46600000000000003</v>
      </c>
      <c r="C206" s="1"/>
      <c r="D206" s="17">
        <f t="shared" si="14"/>
        <v>0.66874460000000013</v>
      </c>
      <c r="E206" s="17">
        <f>D206</f>
        <v>0.66874460000000013</v>
      </c>
      <c r="I206" s="58">
        <v>0.8</v>
      </c>
      <c r="J206" s="21">
        <v>0.55300000000000005</v>
      </c>
    </row>
    <row r="207" spans="1:10">
      <c r="A207" t="s">
        <v>162</v>
      </c>
      <c r="B207" s="1">
        <v>0.79800000000000004</v>
      </c>
      <c r="C207" s="1"/>
      <c r="D207" s="17">
        <f t="shared" si="14"/>
        <v>1.1511738000000002</v>
      </c>
      <c r="E207" s="17">
        <f>D207</f>
        <v>1.1511738000000002</v>
      </c>
      <c r="I207" s="58">
        <v>1</v>
      </c>
      <c r="J207" s="21">
        <v>0.69399999999999995</v>
      </c>
    </row>
    <row r="208" spans="1:10">
      <c r="A208" t="s">
        <v>163</v>
      </c>
      <c r="B208" s="1">
        <v>2.004</v>
      </c>
      <c r="C208" s="1">
        <v>1.3049999999999999</v>
      </c>
      <c r="D208" s="17">
        <f>((F208*$J$209)-$J$210)*100</f>
        <v>19.503400000000003</v>
      </c>
      <c r="E208" s="17">
        <f t="shared" ref="E208" si="17">D208*100</f>
        <v>1950.3400000000004</v>
      </c>
      <c r="F208" s="7">
        <v>0.14000000000000001</v>
      </c>
    </row>
    <row r="209" spans="1:10">
      <c r="A209" t="s">
        <v>164</v>
      </c>
      <c r="B209" s="1">
        <v>0.34399999999999997</v>
      </c>
      <c r="C209" s="1"/>
      <c r="D209" s="17">
        <f t="shared" si="14"/>
        <v>0.49146639999999997</v>
      </c>
      <c r="E209" s="17">
        <f>D209</f>
        <v>0.49146639999999997</v>
      </c>
      <c r="I209" s="5" t="s">
        <v>260</v>
      </c>
      <c r="J209" s="61">
        <v>1.4531000000000001</v>
      </c>
    </row>
    <row r="210" spans="1:10">
      <c r="A210" t="s">
        <v>165</v>
      </c>
      <c r="B210" s="1">
        <v>0.248</v>
      </c>
      <c r="C210" s="1"/>
      <c r="D210" s="17">
        <f t="shared" si="14"/>
        <v>0.35196879999999997</v>
      </c>
      <c r="E210" s="17">
        <f t="shared" ref="E210:E213" si="18">D210</f>
        <v>0.35196879999999997</v>
      </c>
      <c r="I210" s="5" t="s">
        <v>261</v>
      </c>
      <c r="J210" s="61">
        <v>8.3999999999999995E-3</v>
      </c>
    </row>
    <row r="211" spans="1:10">
      <c r="A211" t="s">
        <v>166</v>
      </c>
      <c r="B211" s="1">
        <v>2.8000000000000001E-2</v>
      </c>
      <c r="C211" s="1"/>
      <c r="D211" s="17">
        <f t="shared" si="14"/>
        <v>3.2286800000000004E-2</v>
      </c>
      <c r="E211" s="17">
        <f t="shared" si="18"/>
        <v>3.2286800000000004E-2</v>
      </c>
    </row>
    <row r="212" spans="1:10">
      <c r="A212" t="s">
        <v>167</v>
      </c>
      <c r="B212" s="1">
        <v>1.7999999999999999E-2</v>
      </c>
      <c r="C212" s="1"/>
      <c r="D212" s="17">
        <f t="shared" si="14"/>
        <v>1.7755800000000002E-2</v>
      </c>
      <c r="E212" s="17">
        <f t="shared" si="18"/>
        <v>1.7755800000000002E-2</v>
      </c>
    </row>
    <row r="213" spans="1:10">
      <c r="A213" t="s">
        <v>168</v>
      </c>
      <c r="B213" s="1">
        <v>1.6E-2</v>
      </c>
      <c r="C213" s="1"/>
      <c r="D213" s="17">
        <f t="shared" si="14"/>
        <v>1.4849600000000003E-2</v>
      </c>
      <c r="E213" s="17">
        <f t="shared" si="18"/>
        <v>1.4849600000000003E-2</v>
      </c>
    </row>
    <row r="214" spans="1:10">
      <c r="A214" s="7" t="s">
        <v>169</v>
      </c>
      <c r="B214" s="11">
        <v>1.964</v>
      </c>
      <c r="C214" s="11">
        <v>0.34599999999999997</v>
      </c>
      <c r="D214" s="17">
        <f>10*((C214*$J$209)-$J$210)</f>
        <v>4.9437259999999998</v>
      </c>
      <c r="E214" s="7">
        <f>D214*10</f>
        <v>49.437259999999995</v>
      </c>
    </row>
    <row r="215" spans="1:10">
      <c r="A215" s="7" t="s">
        <v>170</v>
      </c>
      <c r="B215" s="11">
        <v>1.3380000000000001</v>
      </c>
      <c r="C215" s="11">
        <v>0.14599999999999999</v>
      </c>
      <c r="D215" s="17">
        <f>10*((C215*$J$209)-$J$210)</f>
        <v>2.0375260000000002</v>
      </c>
      <c r="E215" s="7">
        <f t="shared" ref="E215:E216" si="19">D215*10</f>
        <v>20.375260000000001</v>
      </c>
    </row>
    <row r="216" spans="1:10">
      <c r="A216" s="7" t="s">
        <v>171</v>
      </c>
      <c r="B216" s="11">
        <v>1.998</v>
      </c>
      <c r="C216" s="11">
        <v>0.38</v>
      </c>
      <c r="D216" s="17">
        <f>10*((C216*$J$209)-$J$210)</f>
        <v>5.4377800000000009</v>
      </c>
      <c r="E216" s="7">
        <f t="shared" si="19"/>
        <v>54.377800000000008</v>
      </c>
    </row>
    <row r="217" spans="1:10">
      <c r="A217" t="s">
        <v>172</v>
      </c>
      <c r="B217" s="1">
        <v>0.25800000000000001</v>
      </c>
      <c r="C217" s="1"/>
      <c r="D217" s="17">
        <f t="shared" si="14"/>
        <v>0.36649979999999999</v>
      </c>
      <c r="E217" s="17">
        <f t="shared" ref="E217:E222" si="20">D217</f>
        <v>0.36649979999999999</v>
      </c>
    </row>
    <row r="218" spans="1:10">
      <c r="A218" t="s">
        <v>173</v>
      </c>
      <c r="B218" s="1">
        <v>0.437</v>
      </c>
      <c r="C218" s="1"/>
      <c r="D218" s="17">
        <f t="shared" si="14"/>
        <v>0.62660470000000001</v>
      </c>
      <c r="E218" s="17">
        <f t="shared" si="20"/>
        <v>0.62660470000000001</v>
      </c>
    </row>
    <row r="219" spans="1:10">
      <c r="A219" t="s">
        <v>174</v>
      </c>
      <c r="B219" s="1">
        <v>0.32700000000000001</v>
      </c>
      <c r="C219" s="1"/>
      <c r="D219" s="17">
        <f t="shared" si="14"/>
        <v>0.4667637</v>
      </c>
      <c r="E219" s="17">
        <f t="shared" si="20"/>
        <v>0.4667637</v>
      </c>
    </row>
    <row r="220" spans="1:10">
      <c r="A220" t="s">
        <v>175</v>
      </c>
      <c r="B220" s="1">
        <v>0.28699999999999998</v>
      </c>
      <c r="C220" s="1"/>
      <c r="D220" s="17">
        <f t="shared" si="14"/>
        <v>0.40863969999999994</v>
      </c>
      <c r="E220" s="17">
        <f t="shared" si="20"/>
        <v>0.40863969999999994</v>
      </c>
    </row>
    <row r="221" spans="1:10">
      <c r="A221" t="s">
        <v>176</v>
      </c>
      <c r="B221" s="1">
        <v>5.8999999999999997E-2</v>
      </c>
      <c r="C221" s="1"/>
      <c r="D221" s="17">
        <f t="shared" si="14"/>
        <v>7.7332899999999996E-2</v>
      </c>
      <c r="E221" s="17">
        <f t="shared" si="20"/>
        <v>7.7332899999999996E-2</v>
      </c>
    </row>
    <row r="222" spans="1:10">
      <c r="A222" t="s">
        <v>177</v>
      </c>
      <c r="B222" s="1">
        <v>4.4999999999999998E-2</v>
      </c>
      <c r="C222" s="1"/>
      <c r="D222" s="17">
        <f t="shared" si="14"/>
        <v>5.6989500000000005E-2</v>
      </c>
      <c r="E222" s="17">
        <f t="shared" si="20"/>
        <v>5.6989500000000005E-2</v>
      </c>
    </row>
    <row r="223" spans="1:10">
      <c r="A223" t="s">
        <v>178</v>
      </c>
      <c r="B223" s="1">
        <v>5.0000000000000001E-3</v>
      </c>
      <c r="C223" s="1"/>
      <c r="D223" s="17">
        <f t="shared" si="14"/>
        <v>-1.1344999999999992E-3</v>
      </c>
      <c r="E223" s="17">
        <v>0</v>
      </c>
    </row>
    <row r="224" spans="1:10">
      <c r="B224" s="1"/>
      <c r="C224" s="1"/>
      <c r="E224" s="17"/>
    </row>
    <row r="225" spans="1:10">
      <c r="A225" s="17"/>
      <c r="B225" s="13"/>
      <c r="C225" s="13"/>
      <c r="D225" s="5" t="s">
        <v>2</v>
      </c>
      <c r="E225" s="5" t="s">
        <v>19</v>
      </c>
      <c r="I225" s="62" t="s">
        <v>242</v>
      </c>
      <c r="J225" s="63"/>
    </row>
    <row r="226" spans="1:10">
      <c r="A226" s="17"/>
      <c r="B226" s="13"/>
      <c r="C226" s="13" t="s">
        <v>103</v>
      </c>
      <c r="D226" s="5" t="s">
        <v>18</v>
      </c>
      <c r="E226" s="5" t="s">
        <v>18</v>
      </c>
      <c r="I226" s="64" t="s">
        <v>17</v>
      </c>
      <c r="J226" s="64"/>
    </row>
    <row r="227" spans="1:10">
      <c r="A227" t="s">
        <v>179</v>
      </c>
      <c r="B227" s="1">
        <v>2.7E-2</v>
      </c>
      <c r="C227" s="1"/>
      <c r="D227" s="17">
        <f>(B227*$J$235)-$J$236</f>
        <v>3.1066799999999999E-2</v>
      </c>
      <c r="E227" s="17">
        <f>D227</f>
        <v>3.1066799999999999E-2</v>
      </c>
      <c r="I227" s="58">
        <v>0</v>
      </c>
      <c r="J227" s="21">
        <v>4.0000000000000001E-3</v>
      </c>
    </row>
    <row r="228" spans="1:10">
      <c r="A228" t="s">
        <v>180</v>
      </c>
      <c r="B228" s="1">
        <v>3.6999999999999998E-2</v>
      </c>
      <c r="C228" s="1"/>
      <c r="D228" s="17">
        <f t="shared" ref="D228:D251" si="21">(B228*$J$235)-$J$236</f>
        <v>4.5350799999999997E-2</v>
      </c>
      <c r="E228" s="17">
        <f>D228</f>
        <v>4.5350799999999997E-2</v>
      </c>
      <c r="I228" s="58">
        <v>0.1</v>
      </c>
      <c r="J228" s="21">
        <v>7.0999999999999994E-2</v>
      </c>
    </row>
    <row r="229" spans="1:10">
      <c r="A229" s="26" t="s">
        <v>181</v>
      </c>
      <c r="B229" s="27">
        <v>4.0000000000000001E-3</v>
      </c>
      <c r="C229" s="27"/>
      <c r="D229" s="17">
        <f>(B229*$J$235)-$J$236</f>
        <v>-1.7863999999999996E-3</v>
      </c>
      <c r="E229" s="18">
        <v>0</v>
      </c>
      <c r="I229" s="58">
        <v>0.2</v>
      </c>
      <c r="J229" s="21">
        <v>0.14599999999999999</v>
      </c>
    </row>
    <row r="230" spans="1:10">
      <c r="A230" s="7" t="s">
        <v>182</v>
      </c>
      <c r="B230" s="11">
        <v>1.976</v>
      </c>
      <c r="C230" s="11">
        <v>0.41599999999999998</v>
      </c>
      <c r="D230" s="17">
        <f>((C230*$J$235)-$J$236)*10</f>
        <v>5.8671439999999997</v>
      </c>
      <c r="E230" s="7">
        <f>D230*10</f>
        <v>58.671439999999997</v>
      </c>
      <c r="I230" s="58">
        <v>0.4</v>
      </c>
      <c r="J230" s="21">
        <v>0.28899999999999998</v>
      </c>
    </row>
    <row r="231" spans="1:10">
      <c r="A231" t="s">
        <v>183</v>
      </c>
      <c r="B231" s="1">
        <v>0.11</v>
      </c>
      <c r="C231" s="1"/>
      <c r="D231" s="17">
        <f t="shared" si="21"/>
        <v>0.14962399999999998</v>
      </c>
      <c r="E231" s="17">
        <f>D231</f>
        <v>0.14962399999999998</v>
      </c>
      <c r="I231" s="58">
        <v>0.6</v>
      </c>
      <c r="J231" s="21">
        <v>0.43099999999999999</v>
      </c>
    </row>
    <row r="232" spans="1:10">
      <c r="A232" s="7" t="s">
        <v>184</v>
      </c>
      <c r="B232" s="11">
        <v>1.5249999999999999</v>
      </c>
      <c r="C232" s="11">
        <v>0.17199999999999999</v>
      </c>
      <c r="D232" s="17">
        <f>((C232*$J$235)-$J$236)*10</f>
        <v>2.3818479999999993</v>
      </c>
      <c r="E232" s="7">
        <f>D232*10</f>
        <v>23.818479999999994</v>
      </c>
      <c r="I232" s="58">
        <v>0.8</v>
      </c>
      <c r="J232" s="21">
        <v>0.56599999999999995</v>
      </c>
    </row>
    <row r="233" spans="1:10">
      <c r="A233" s="7" t="s">
        <v>185</v>
      </c>
      <c r="B233" s="11">
        <v>1.956</v>
      </c>
      <c r="C233" s="11">
        <v>0.48599999999999999</v>
      </c>
      <c r="D233" s="17">
        <f>((C233*$J$235)-$J$236)*10</f>
        <v>6.8670239999999989</v>
      </c>
      <c r="E233" s="7">
        <f>D233*10</f>
        <v>68.670239999999993</v>
      </c>
      <c r="I233" s="58">
        <v>1</v>
      </c>
      <c r="J233" s="15">
        <v>0.7</v>
      </c>
    </row>
    <row r="234" spans="1:10">
      <c r="A234" t="s">
        <v>186</v>
      </c>
      <c r="B234" s="1">
        <v>8.5000000000000006E-2</v>
      </c>
      <c r="C234" s="1"/>
      <c r="D234" s="17">
        <f t="shared" si="21"/>
        <v>0.11391399999999999</v>
      </c>
      <c r="E234" s="17">
        <f>D234</f>
        <v>0.11391399999999999</v>
      </c>
    </row>
    <row r="235" spans="1:10">
      <c r="A235" t="s">
        <v>187</v>
      </c>
      <c r="B235" s="1">
        <v>0.54500000000000004</v>
      </c>
      <c r="C235" s="1"/>
      <c r="D235" s="17">
        <f t="shared" si="21"/>
        <v>0.77097800000000005</v>
      </c>
      <c r="E235" s="17">
        <f>D235</f>
        <v>0.77097800000000005</v>
      </c>
      <c r="I235" s="5" t="s">
        <v>260</v>
      </c>
      <c r="J235" s="61">
        <v>1.4283999999999999</v>
      </c>
    </row>
    <row r="236" spans="1:10">
      <c r="A236" s="7" t="s">
        <v>188</v>
      </c>
      <c r="B236" s="11">
        <v>1.9390000000000001</v>
      </c>
      <c r="C236" s="11">
        <v>0.94</v>
      </c>
      <c r="D236" s="17">
        <f>((C236*$J$235)-$J$236)*10</f>
        <v>13.351959999999998</v>
      </c>
      <c r="E236" s="7">
        <f>D236*10</f>
        <v>133.51959999999997</v>
      </c>
      <c r="I236" s="5" t="s">
        <v>261</v>
      </c>
      <c r="J236" s="61">
        <v>7.4999999999999997E-3</v>
      </c>
    </row>
    <row r="237" spans="1:10">
      <c r="A237" t="s">
        <v>189</v>
      </c>
      <c r="B237" s="1">
        <v>3.4000000000000002E-2</v>
      </c>
      <c r="C237" s="1"/>
      <c r="D237" s="17">
        <f t="shared" si="21"/>
        <v>4.1065600000000001E-2</v>
      </c>
      <c r="E237" s="17">
        <f>D237</f>
        <v>4.1065600000000001E-2</v>
      </c>
    </row>
    <row r="238" spans="1:10">
      <c r="A238" s="26" t="s">
        <v>190</v>
      </c>
      <c r="B238" s="27">
        <v>5.0000000000000001E-3</v>
      </c>
      <c r="C238" s="27"/>
      <c r="D238" s="17">
        <f t="shared" si="21"/>
        <v>-3.5799999999999981E-4</v>
      </c>
      <c r="E238" s="17">
        <v>0</v>
      </c>
    </row>
    <row r="239" spans="1:10">
      <c r="A239" t="s">
        <v>191</v>
      </c>
      <c r="B239" s="1">
        <v>6.0000000000000001E-3</v>
      </c>
      <c r="C239" s="1"/>
      <c r="D239" s="17">
        <f t="shared" si="21"/>
        <v>1.0703999999999991E-3</v>
      </c>
      <c r="E239" s="17">
        <f>D239</f>
        <v>1.0703999999999991E-3</v>
      </c>
    </row>
    <row r="240" spans="1:10">
      <c r="A240" t="s">
        <v>192</v>
      </c>
      <c r="B240" s="1">
        <v>4.9000000000000002E-2</v>
      </c>
      <c r="C240" s="1"/>
      <c r="D240" s="17">
        <f t="shared" si="21"/>
        <v>6.2491600000000001E-2</v>
      </c>
      <c r="E240" s="17">
        <f t="shared" ref="E240:E250" si="22">D240</f>
        <v>6.2491600000000001E-2</v>
      </c>
    </row>
    <row r="241" spans="1:10">
      <c r="A241" t="s">
        <v>193</v>
      </c>
      <c r="B241" s="1">
        <v>1.7999999999999999E-2</v>
      </c>
      <c r="C241" s="1"/>
      <c r="D241" s="17">
        <f t="shared" si="21"/>
        <v>1.8211199999999997E-2</v>
      </c>
      <c r="E241" s="17">
        <f t="shared" si="22"/>
        <v>1.8211199999999997E-2</v>
      </c>
    </row>
    <row r="242" spans="1:10">
      <c r="A242" t="s">
        <v>194</v>
      </c>
      <c r="B242" s="1">
        <v>1.4999999999999999E-2</v>
      </c>
      <c r="C242" s="1"/>
      <c r="D242" s="17">
        <f t="shared" si="21"/>
        <v>1.3925999999999997E-2</v>
      </c>
      <c r="E242" s="17">
        <f t="shared" si="22"/>
        <v>1.3925999999999997E-2</v>
      </c>
    </row>
    <row r="243" spans="1:10">
      <c r="A243" t="s">
        <v>195</v>
      </c>
      <c r="B243" s="1">
        <v>1.4E-2</v>
      </c>
      <c r="C243" s="1"/>
      <c r="D243" s="17">
        <f t="shared" si="21"/>
        <v>1.2497599999999998E-2</v>
      </c>
      <c r="E243" s="17">
        <f t="shared" si="22"/>
        <v>1.2497599999999998E-2</v>
      </c>
    </row>
    <row r="244" spans="1:10">
      <c r="A244" t="s">
        <v>196</v>
      </c>
      <c r="B244" s="1">
        <v>1.2999999999999999E-2</v>
      </c>
      <c r="C244" s="1"/>
      <c r="D244" s="17">
        <f t="shared" si="21"/>
        <v>1.1069199999999998E-2</v>
      </c>
      <c r="E244" s="17">
        <f t="shared" si="22"/>
        <v>1.1069199999999998E-2</v>
      </c>
    </row>
    <row r="245" spans="1:10">
      <c r="A245" t="s">
        <v>197</v>
      </c>
      <c r="B245" s="1">
        <v>0.14699999999999999</v>
      </c>
      <c r="C245" s="1"/>
      <c r="D245" s="17">
        <f t="shared" si="21"/>
        <v>0.20247479999999995</v>
      </c>
      <c r="E245" s="17">
        <f t="shared" si="22"/>
        <v>0.20247479999999995</v>
      </c>
    </row>
    <row r="246" spans="1:10">
      <c r="A246" t="s">
        <v>198</v>
      </c>
      <c r="B246" s="1">
        <v>0.02</v>
      </c>
      <c r="C246" s="1"/>
      <c r="D246" s="17">
        <f t="shared" si="21"/>
        <v>2.1068E-2</v>
      </c>
      <c r="E246" s="17">
        <f t="shared" si="22"/>
        <v>2.1068E-2</v>
      </c>
    </row>
    <row r="247" spans="1:10">
      <c r="A247" t="s">
        <v>199</v>
      </c>
      <c r="B247" s="1">
        <v>1.9E-2</v>
      </c>
      <c r="C247" s="1"/>
      <c r="D247" s="17">
        <f t="shared" si="21"/>
        <v>1.9639599999999997E-2</v>
      </c>
      <c r="E247" s="17">
        <f t="shared" si="22"/>
        <v>1.9639599999999997E-2</v>
      </c>
    </row>
    <row r="248" spans="1:10">
      <c r="A248" t="s">
        <v>200</v>
      </c>
      <c r="B248" s="1">
        <v>0.16800000000000001</v>
      </c>
      <c r="C248" s="1"/>
      <c r="D248" s="17">
        <f t="shared" si="21"/>
        <v>0.23247119999999999</v>
      </c>
      <c r="E248" s="17">
        <f t="shared" si="22"/>
        <v>0.23247119999999999</v>
      </c>
    </row>
    <row r="249" spans="1:10">
      <c r="A249" t="s">
        <v>201</v>
      </c>
      <c r="B249" s="1">
        <v>8.9999999999999993E-3</v>
      </c>
      <c r="C249" s="1"/>
      <c r="D249" s="17">
        <f t="shared" si="21"/>
        <v>5.3555999999999986E-3</v>
      </c>
      <c r="E249" s="17">
        <f t="shared" si="22"/>
        <v>5.3555999999999986E-3</v>
      </c>
    </row>
    <row r="250" spans="1:10">
      <c r="A250" t="s">
        <v>202</v>
      </c>
      <c r="B250" s="1">
        <v>7.0000000000000001E-3</v>
      </c>
      <c r="C250" s="1"/>
      <c r="D250" s="17">
        <f t="shared" si="21"/>
        <v>2.4987999999999989E-3</v>
      </c>
      <c r="E250" s="17">
        <f t="shared" si="22"/>
        <v>2.4987999999999989E-3</v>
      </c>
    </row>
    <row r="251" spans="1:10">
      <c r="A251" s="26" t="s">
        <v>203</v>
      </c>
      <c r="B251" s="27">
        <v>4.0000000000000001E-3</v>
      </c>
      <c r="C251" s="27"/>
      <c r="D251" s="17">
        <f t="shared" si="21"/>
        <v>-1.7863999999999996E-3</v>
      </c>
      <c r="E251" s="17">
        <v>0</v>
      </c>
    </row>
    <row r="252" spans="1:10">
      <c r="B252" s="1"/>
      <c r="C252" s="1"/>
      <c r="E252" s="17"/>
    </row>
    <row r="253" spans="1:10">
      <c r="A253" s="17"/>
      <c r="B253" s="13"/>
      <c r="C253" s="13"/>
      <c r="D253" s="5" t="s">
        <v>2</v>
      </c>
      <c r="E253" s="5" t="s">
        <v>19</v>
      </c>
    </row>
    <row r="254" spans="1:10">
      <c r="A254" s="17"/>
      <c r="B254" s="13"/>
      <c r="C254" s="13" t="s">
        <v>103</v>
      </c>
      <c r="D254" s="5" t="s">
        <v>18</v>
      </c>
      <c r="E254" s="5" t="s">
        <v>18</v>
      </c>
    </row>
    <row r="255" spans="1:10">
      <c r="A255" t="s">
        <v>204</v>
      </c>
      <c r="B255" s="1">
        <v>0.99299999999999999</v>
      </c>
      <c r="C255" s="1"/>
      <c r="D255" s="17">
        <f>(B255*$J$265)-$J$266</f>
        <v>1.3983208999999999</v>
      </c>
      <c r="E255" s="17">
        <f>D255-$D$279</f>
        <v>1.3957757</v>
      </c>
      <c r="I255" s="62" t="s">
        <v>243</v>
      </c>
      <c r="J255" s="63"/>
    </row>
    <row r="256" spans="1:10">
      <c r="A256" t="s">
        <v>205</v>
      </c>
      <c r="B256" s="1">
        <v>0.02</v>
      </c>
      <c r="C256" s="1"/>
      <c r="D256" s="17">
        <f t="shared" ref="D256:D279" si="23">(B256*$J$265)-$J$266</f>
        <v>2.5126000000000002E-2</v>
      </c>
      <c r="E256" s="17">
        <f t="shared" ref="E256:E279" si="24">D256-$D$279</f>
        <v>2.2580800000000002E-2</v>
      </c>
      <c r="I256" s="64" t="s">
        <v>17</v>
      </c>
      <c r="J256" s="64"/>
    </row>
    <row r="257" spans="1:10">
      <c r="A257" t="s">
        <v>206</v>
      </c>
      <c r="B257" s="1">
        <v>5.8999999999999997E-2</v>
      </c>
      <c r="C257" s="1"/>
      <c r="D257" s="17">
        <f t="shared" si="23"/>
        <v>8.0166699999999994E-2</v>
      </c>
      <c r="E257" s="17">
        <f t="shared" si="24"/>
        <v>7.7621499999999996E-2</v>
      </c>
      <c r="I257" s="58">
        <v>0</v>
      </c>
      <c r="J257" s="21">
        <v>3.0000000000000001E-3</v>
      </c>
    </row>
    <row r="258" spans="1:10">
      <c r="A258" t="s">
        <v>207</v>
      </c>
      <c r="B258" s="1">
        <v>2.4E-2</v>
      </c>
      <c r="C258" s="1"/>
      <c r="D258" s="17">
        <f t="shared" si="23"/>
        <v>3.0771200000000005E-2</v>
      </c>
      <c r="E258" s="17">
        <f t="shared" si="24"/>
        <v>2.8226000000000005E-2</v>
      </c>
      <c r="I258" s="58">
        <v>0.1</v>
      </c>
      <c r="J258" s="21">
        <v>7.0999999999999994E-2</v>
      </c>
    </row>
    <row r="259" spans="1:10">
      <c r="A259" t="s">
        <v>208</v>
      </c>
      <c r="B259" s="1">
        <v>7.0000000000000001E-3</v>
      </c>
      <c r="C259" s="1"/>
      <c r="D259" s="17">
        <f t="shared" si="23"/>
        <v>6.7790999999999997E-3</v>
      </c>
      <c r="E259" s="17">
        <f t="shared" si="24"/>
        <v>4.2338999999999988E-3</v>
      </c>
      <c r="I259" s="58">
        <v>0.2</v>
      </c>
      <c r="J259" s="21">
        <v>0.14299999999999999</v>
      </c>
    </row>
    <row r="260" spans="1:10">
      <c r="A260" s="7" t="s">
        <v>209</v>
      </c>
      <c r="B260" s="11"/>
      <c r="C260" s="11">
        <v>0.34100000000000003</v>
      </c>
      <c r="D260" s="17">
        <f>((C260*$J$265)-$J$266)*10</f>
        <v>4.7815330000000005</v>
      </c>
      <c r="E260" s="17">
        <f t="shared" si="24"/>
        <v>4.7789878000000003</v>
      </c>
      <c r="I260" s="58">
        <v>0.4</v>
      </c>
      <c r="J260" s="21">
        <v>0.28799999999999998</v>
      </c>
    </row>
    <row r="261" spans="1:10">
      <c r="A261" t="s">
        <v>210</v>
      </c>
      <c r="B261" s="1">
        <v>9.2999999999999999E-2</v>
      </c>
      <c r="C261" s="1"/>
      <c r="D261" s="17">
        <f t="shared" si="23"/>
        <v>0.12815090000000001</v>
      </c>
      <c r="E261" s="17">
        <f t="shared" si="24"/>
        <v>0.12560570000000001</v>
      </c>
      <c r="I261" s="58">
        <v>0.6</v>
      </c>
      <c r="J261" s="21">
        <v>0.42599999999999999</v>
      </c>
    </row>
    <row r="262" spans="1:10">
      <c r="A262" t="s">
        <v>211</v>
      </c>
      <c r="B262" s="1">
        <v>1.2999999999999999E-2</v>
      </c>
      <c r="C262" s="1"/>
      <c r="D262" s="17">
        <f t="shared" si="23"/>
        <v>1.5246899999999999E-2</v>
      </c>
      <c r="E262" s="17">
        <f t="shared" si="24"/>
        <v>1.2701699999999998E-2</v>
      </c>
      <c r="I262" s="58">
        <v>0.8</v>
      </c>
      <c r="J262" s="21">
        <v>0.57399999999999995</v>
      </c>
    </row>
    <row r="263" spans="1:10">
      <c r="A263" t="s">
        <v>212</v>
      </c>
      <c r="B263" s="1">
        <v>4.0000000000000001E-3</v>
      </c>
      <c r="C263" s="1"/>
      <c r="D263" s="17">
        <f t="shared" si="23"/>
        <v>2.5452000000000005E-3</v>
      </c>
      <c r="E263" s="17">
        <f>D263-$D$279</f>
        <v>0</v>
      </c>
      <c r="I263" s="58">
        <v>1</v>
      </c>
      <c r="J263" s="15">
        <v>0.70699999999999996</v>
      </c>
    </row>
    <row r="264" spans="1:10">
      <c r="A264" t="s">
        <v>213</v>
      </c>
      <c r="B264" s="1">
        <v>1.6E-2</v>
      </c>
      <c r="C264" s="1"/>
      <c r="D264" s="17">
        <f t="shared" si="23"/>
        <v>1.9480800000000003E-2</v>
      </c>
      <c r="E264" s="17">
        <f t="shared" si="24"/>
        <v>1.6935600000000002E-2</v>
      </c>
    </row>
    <row r="265" spans="1:10">
      <c r="A265" t="s">
        <v>214</v>
      </c>
      <c r="B265" s="1">
        <v>1.7000000000000001E-2</v>
      </c>
      <c r="C265" s="1"/>
      <c r="D265" s="17">
        <f t="shared" si="23"/>
        <v>2.0892100000000004E-2</v>
      </c>
      <c r="E265" s="17">
        <f t="shared" si="24"/>
        <v>1.8346900000000003E-2</v>
      </c>
      <c r="I265" s="5" t="s">
        <v>260</v>
      </c>
      <c r="J265" s="61">
        <v>1.4113</v>
      </c>
    </row>
    <row r="266" spans="1:10">
      <c r="A266" t="s">
        <v>215</v>
      </c>
      <c r="B266" s="1">
        <v>5.0000000000000001E-3</v>
      </c>
      <c r="C266" s="1"/>
      <c r="D266" s="17">
        <f t="shared" si="23"/>
        <v>3.9564999999999999E-3</v>
      </c>
      <c r="E266" s="17">
        <f t="shared" si="24"/>
        <v>1.4112999999999994E-3</v>
      </c>
      <c r="I266" s="5" t="s">
        <v>261</v>
      </c>
      <c r="J266" s="61">
        <v>3.0999999999999999E-3</v>
      </c>
    </row>
    <row r="267" spans="1:10">
      <c r="A267" t="s">
        <v>216</v>
      </c>
      <c r="B267" s="1">
        <v>4.0000000000000001E-3</v>
      </c>
      <c r="C267" s="1"/>
      <c r="D267" s="17">
        <f t="shared" si="23"/>
        <v>2.5452000000000005E-3</v>
      </c>
      <c r="E267" s="17">
        <f t="shared" si="24"/>
        <v>0</v>
      </c>
    </row>
    <row r="268" spans="1:10">
      <c r="A268" t="s">
        <v>217</v>
      </c>
      <c r="B268" s="1">
        <v>4.0000000000000001E-3</v>
      </c>
      <c r="C268" s="1"/>
      <c r="D268" s="17">
        <f t="shared" si="23"/>
        <v>2.5452000000000005E-3</v>
      </c>
      <c r="E268" s="17">
        <f t="shared" si="24"/>
        <v>0</v>
      </c>
    </row>
    <row r="269" spans="1:10">
      <c r="A269">
        <v>10</v>
      </c>
      <c r="B269" s="1">
        <v>1.2999999999999999E-2</v>
      </c>
      <c r="C269" s="1"/>
      <c r="D269" s="17">
        <f t="shared" si="23"/>
        <v>1.5246899999999999E-2</v>
      </c>
      <c r="E269" s="17">
        <f t="shared" si="24"/>
        <v>1.2701699999999998E-2</v>
      </c>
    </row>
    <row r="270" spans="1:10">
      <c r="A270">
        <v>14</v>
      </c>
      <c r="B270" s="1">
        <v>5.0000000000000001E-3</v>
      </c>
      <c r="C270" s="1"/>
      <c r="D270" s="17">
        <f t="shared" si="23"/>
        <v>3.9564999999999999E-3</v>
      </c>
      <c r="E270" s="17">
        <f t="shared" si="24"/>
        <v>1.4112999999999994E-3</v>
      </c>
    </row>
    <row r="271" spans="1:10">
      <c r="A271">
        <v>18</v>
      </c>
      <c r="B271" s="1">
        <v>4.0000000000000001E-3</v>
      </c>
      <c r="C271" s="1"/>
      <c r="D271" s="17">
        <f t="shared" si="23"/>
        <v>2.5452000000000005E-3</v>
      </c>
      <c r="E271" s="17">
        <f t="shared" si="24"/>
        <v>0</v>
      </c>
    </row>
    <row r="272" spans="1:10">
      <c r="A272">
        <v>91</v>
      </c>
      <c r="B272" s="1">
        <v>0.22900000000000001</v>
      </c>
      <c r="C272" s="1"/>
      <c r="D272" s="17">
        <f t="shared" si="23"/>
        <v>0.32008770000000003</v>
      </c>
      <c r="E272" s="17">
        <f t="shared" si="24"/>
        <v>0.31754250000000001</v>
      </c>
    </row>
    <row r="273" spans="1:10">
      <c r="A273">
        <v>95</v>
      </c>
      <c r="B273" s="1">
        <v>8.0000000000000002E-3</v>
      </c>
      <c r="C273" s="1"/>
      <c r="D273" s="17">
        <f t="shared" si="23"/>
        <v>8.1904000000000005E-3</v>
      </c>
      <c r="E273" s="17">
        <f t="shared" si="24"/>
        <v>5.6451999999999995E-3</v>
      </c>
    </row>
    <row r="274" spans="1:10">
      <c r="A274">
        <v>279</v>
      </c>
      <c r="B274" s="1">
        <v>4.9000000000000002E-2</v>
      </c>
      <c r="C274" s="1"/>
      <c r="D274" s="17">
        <f t="shared" si="23"/>
        <v>6.6053699999999993E-2</v>
      </c>
      <c r="E274" s="17">
        <f t="shared" si="24"/>
        <v>6.3508499999999996E-2</v>
      </c>
    </row>
    <row r="275" spans="1:10">
      <c r="A275">
        <v>288</v>
      </c>
      <c r="B275" s="1">
        <v>1.2E-2</v>
      </c>
      <c r="C275" s="1"/>
      <c r="D275" s="17">
        <f t="shared" si="23"/>
        <v>1.3835600000000002E-2</v>
      </c>
      <c r="E275" s="17">
        <f t="shared" si="24"/>
        <v>1.1290400000000001E-2</v>
      </c>
    </row>
    <row r="276" spans="1:10">
      <c r="A276">
        <v>290</v>
      </c>
      <c r="B276" s="1">
        <v>6.4000000000000001E-2</v>
      </c>
      <c r="C276" s="1"/>
      <c r="D276" s="17">
        <f t="shared" si="23"/>
        <v>8.7223200000000001E-2</v>
      </c>
      <c r="E276" s="17">
        <f t="shared" si="24"/>
        <v>8.4678000000000003E-2</v>
      </c>
    </row>
    <row r="277" spans="1:10">
      <c r="A277" t="s">
        <v>218</v>
      </c>
      <c r="B277" s="1">
        <v>8.9999999999999993E-3</v>
      </c>
      <c r="C277" s="1"/>
      <c r="D277" s="17">
        <f t="shared" si="23"/>
        <v>9.6016999999999995E-3</v>
      </c>
      <c r="E277" s="17">
        <f t="shared" si="24"/>
        <v>7.0564999999999985E-3</v>
      </c>
    </row>
    <row r="278" spans="1:10">
      <c r="A278" t="s">
        <v>219</v>
      </c>
      <c r="B278" s="1">
        <v>8.0000000000000002E-3</v>
      </c>
      <c r="C278" s="1"/>
      <c r="D278" s="17">
        <f t="shared" si="23"/>
        <v>8.1904000000000005E-3</v>
      </c>
      <c r="E278" s="17">
        <f t="shared" si="24"/>
        <v>5.6451999999999995E-3</v>
      </c>
    </row>
    <row r="279" spans="1:10">
      <c r="A279" t="s">
        <v>220</v>
      </c>
      <c r="B279" s="1">
        <v>4.0000000000000001E-3</v>
      </c>
      <c r="C279" s="1"/>
      <c r="D279" s="17">
        <f t="shared" si="23"/>
        <v>2.5452000000000005E-3</v>
      </c>
      <c r="E279" s="17">
        <f t="shared" si="24"/>
        <v>0</v>
      </c>
    </row>
    <row r="280" spans="1:10">
      <c r="B280" s="1"/>
      <c r="C280" s="1"/>
      <c r="E280" s="17"/>
    </row>
    <row r="281" spans="1:10">
      <c r="A281" s="17"/>
      <c r="B281" s="13"/>
      <c r="C281" s="13"/>
      <c r="D281" s="5" t="s">
        <v>2</v>
      </c>
      <c r="E281" s="5" t="s">
        <v>19</v>
      </c>
    </row>
    <row r="282" spans="1:10">
      <c r="A282" s="17"/>
      <c r="B282" s="13"/>
      <c r="C282" s="13" t="s">
        <v>103</v>
      </c>
      <c r="D282" s="5" t="s">
        <v>18</v>
      </c>
      <c r="E282" s="5" t="s">
        <v>18</v>
      </c>
      <c r="I282" s="62" t="s">
        <v>250</v>
      </c>
      <c r="J282" s="63"/>
    </row>
    <row r="283" spans="1:10">
      <c r="A283" s="25">
        <v>46</v>
      </c>
      <c r="B283" s="1">
        <v>8.0000000000000002E-3</v>
      </c>
      <c r="C283" s="1"/>
      <c r="D283" s="17">
        <f>(B283*$J$292)-$J$293</f>
        <v>4.3527999999999996E-3</v>
      </c>
      <c r="E283" s="17">
        <f>D283-$D$305</f>
        <v>4.1447999999999997E-3</v>
      </c>
      <c r="I283" s="64" t="s">
        <v>17</v>
      </c>
      <c r="J283" s="64"/>
    </row>
    <row r="284" spans="1:10">
      <c r="A284" s="25">
        <v>48</v>
      </c>
      <c r="B284" s="1">
        <v>8.0000000000000002E-3</v>
      </c>
      <c r="C284" s="1"/>
      <c r="D284" s="17">
        <f t="shared" ref="D284:D305" si="25">(B284*$J$292)-$J$293</f>
        <v>4.3527999999999996E-3</v>
      </c>
      <c r="E284" s="17">
        <f t="shared" ref="E284:E305" si="26">D284-$D$305</f>
        <v>4.1447999999999997E-3</v>
      </c>
      <c r="I284" s="58">
        <v>0</v>
      </c>
      <c r="J284" s="40">
        <v>4.0000000000000001E-3</v>
      </c>
    </row>
    <row r="285" spans="1:10">
      <c r="A285" s="25">
        <v>50</v>
      </c>
      <c r="B285" s="1">
        <v>5.0000000000000001E-3</v>
      </c>
      <c r="C285" s="1"/>
      <c r="D285" s="17">
        <f t="shared" si="25"/>
        <v>2.0799999999999985E-4</v>
      </c>
      <c r="E285" s="17">
        <f t="shared" si="26"/>
        <v>0</v>
      </c>
      <c r="I285" s="58">
        <v>0.1</v>
      </c>
      <c r="J285" s="40">
        <v>7.6999999999999999E-2</v>
      </c>
    </row>
    <row r="286" spans="1:10">
      <c r="A286" s="25">
        <v>51</v>
      </c>
      <c r="B286" s="1">
        <v>8.0000000000000002E-3</v>
      </c>
      <c r="C286" s="1"/>
      <c r="D286" s="17">
        <f t="shared" si="25"/>
        <v>4.3527999999999996E-3</v>
      </c>
      <c r="E286" s="17">
        <f t="shared" si="26"/>
        <v>4.1447999999999997E-3</v>
      </c>
      <c r="I286" s="58">
        <v>0.2</v>
      </c>
      <c r="J286" s="40">
        <v>0.14899999999999999</v>
      </c>
    </row>
    <row r="287" spans="1:10">
      <c r="A287" s="25">
        <v>52</v>
      </c>
      <c r="B287" s="1">
        <v>6.0000000000000001E-3</v>
      </c>
      <c r="C287" s="1"/>
      <c r="D287" s="17">
        <f t="shared" si="25"/>
        <v>1.5895999999999992E-3</v>
      </c>
      <c r="E287" s="17">
        <f t="shared" si="26"/>
        <v>1.3815999999999993E-3</v>
      </c>
      <c r="I287" s="58">
        <v>0.4</v>
      </c>
      <c r="J287" s="40">
        <v>0.29299999999999998</v>
      </c>
    </row>
    <row r="288" spans="1:10">
      <c r="A288" s="25">
        <v>53</v>
      </c>
      <c r="B288" s="1">
        <v>8.0000000000000002E-3</v>
      </c>
      <c r="C288" s="1"/>
      <c r="D288" s="17">
        <f t="shared" si="25"/>
        <v>4.3527999999999996E-3</v>
      </c>
      <c r="E288" s="17">
        <f t="shared" si="26"/>
        <v>4.1447999999999997E-3</v>
      </c>
      <c r="I288" s="58">
        <v>0.6</v>
      </c>
      <c r="J288" s="40">
        <v>0.44500000000000001</v>
      </c>
    </row>
    <row r="289" spans="1:10">
      <c r="A289" s="25">
        <v>300</v>
      </c>
      <c r="B289" s="1">
        <v>7.0000000000000001E-3</v>
      </c>
      <c r="C289" s="1"/>
      <c r="D289" s="17">
        <f t="shared" si="25"/>
        <v>2.9711999999999994E-3</v>
      </c>
      <c r="E289" s="17">
        <f t="shared" si="26"/>
        <v>2.7631999999999995E-3</v>
      </c>
      <c r="I289" s="58">
        <v>0.8</v>
      </c>
      <c r="J289" s="40">
        <v>0.58499999999999996</v>
      </c>
    </row>
    <row r="290" spans="1:10">
      <c r="A290" s="25">
        <v>302</v>
      </c>
      <c r="B290" s="1">
        <v>5.0000000000000001E-3</v>
      </c>
      <c r="C290" s="1"/>
      <c r="D290" s="17">
        <f t="shared" si="25"/>
        <v>2.0799999999999985E-4</v>
      </c>
      <c r="E290" s="17">
        <f t="shared" si="26"/>
        <v>0</v>
      </c>
      <c r="I290" s="58">
        <v>1</v>
      </c>
      <c r="J290" s="15">
        <v>0.72499999999999998</v>
      </c>
    </row>
    <row r="291" spans="1:10">
      <c r="A291" s="48">
        <v>303</v>
      </c>
      <c r="B291" s="13">
        <v>5.0000000000000001E-3</v>
      </c>
      <c r="C291" s="17"/>
      <c r="D291" s="17">
        <f t="shared" si="25"/>
        <v>2.0799999999999985E-4</v>
      </c>
      <c r="E291" s="17">
        <f t="shared" si="26"/>
        <v>0</v>
      </c>
    </row>
    <row r="292" spans="1:10">
      <c r="A292" s="25">
        <v>304</v>
      </c>
      <c r="B292" s="1">
        <v>6.0000000000000001E-3</v>
      </c>
      <c r="C292" s="1"/>
      <c r="D292" s="17">
        <f t="shared" si="25"/>
        <v>1.5895999999999992E-3</v>
      </c>
      <c r="E292" s="17">
        <f t="shared" si="26"/>
        <v>1.3815999999999993E-3</v>
      </c>
      <c r="I292" s="5" t="s">
        <v>260</v>
      </c>
      <c r="J292" s="61">
        <v>1.3815999999999999</v>
      </c>
    </row>
    <row r="293" spans="1:10">
      <c r="A293" s="25">
        <v>305</v>
      </c>
      <c r="B293" s="1">
        <v>0.01</v>
      </c>
      <c r="C293" s="1"/>
      <c r="D293" s="17">
        <f t="shared" si="25"/>
        <v>7.1159999999999999E-3</v>
      </c>
      <c r="E293" s="17">
        <f t="shared" si="26"/>
        <v>6.9080000000000001E-3</v>
      </c>
      <c r="I293" s="5" t="s">
        <v>261</v>
      </c>
      <c r="J293" s="61">
        <v>6.7000000000000002E-3</v>
      </c>
    </row>
    <row r="294" spans="1:10">
      <c r="A294" s="25">
        <v>306</v>
      </c>
      <c r="B294" s="1">
        <v>5.0000000000000001E-3</v>
      </c>
      <c r="C294" s="1"/>
      <c r="D294" s="17">
        <f t="shared" si="25"/>
        <v>2.0799999999999985E-4</v>
      </c>
      <c r="E294" s="17">
        <f t="shared" si="26"/>
        <v>0</v>
      </c>
    </row>
    <row r="295" spans="1:10">
      <c r="A295" s="25">
        <v>307</v>
      </c>
      <c r="B295" s="1">
        <v>7.0000000000000001E-3</v>
      </c>
      <c r="C295" s="1"/>
      <c r="D295" s="17">
        <f t="shared" si="25"/>
        <v>2.9711999999999994E-3</v>
      </c>
      <c r="E295" s="17">
        <f t="shared" si="26"/>
        <v>2.7631999999999995E-3</v>
      </c>
    </row>
    <row r="296" spans="1:10">
      <c r="A296" s="20">
        <v>315</v>
      </c>
      <c r="B296" s="1">
        <v>1.0999999999999999E-2</v>
      </c>
      <c r="C296" s="1"/>
      <c r="D296" s="17">
        <f t="shared" si="25"/>
        <v>8.4975999999999975E-3</v>
      </c>
      <c r="E296" s="17">
        <f t="shared" si="26"/>
        <v>8.2895999999999977E-3</v>
      </c>
    </row>
    <row r="297" spans="1:10">
      <c r="A297" s="20">
        <v>321</v>
      </c>
      <c r="B297" s="1">
        <v>1.2E-2</v>
      </c>
      <c r="C297" s="1"/>
      <c r="D297" s="17">
        <f t="shared" si="25"/>
        <v>9.8791999999999977E-3</v>
      </c>
      <c r="E297" s="17">
        <f t="shared" si="26"/>
        <v>9.6711999999999979E-3</v>
      </c>
    </row>
    <row r="298" spans="1:10">
      <c r="A298" s="20">
        <v>324</v>
      </c>
      <c r="B298" s="1">
        <v>1.2E-2</v>
      </c>
      <c r="C298" s="1"/>
      <c r="D298" s="17">
        <f t="shared" si="25"/>
        <v>9.8791999999999977E-3</v>
      </c>
      <c r="E298" s="17">
        <f t="shared" si="26"/>
        <v>9.6711999999999979E-3</v>
      </c>
    </row>
    <row r="299" spans="1:10">
      <c r="A299" s="20">
        <v>361</v>
      </c>
      <c r="B299" s="1">
        <v>1.196</v>
      </c>
      <c r="C299" s="1"/>
      <c r="D299" s="17">
        <f t="shared" si="25"/>
        <v>1.6456936</v>
      </c>
      <c r="E299" s="17">
        <f t="shared" si="26"/>
        <v>1.6454856</v>
      </c>
    </row>
    <row r="300" spans="1:10">
      <c r="A300" s="29">
        <v>363</v>
      </c>
      <c r="B300" s="11"/>
      <c r="C300" s="11">
        <v>0.252</v>
      </c>
      <c r="D300" s="17">
        <f>((C300*$J$292)-$J$293)*10</f>
        <v>3.4146320000000001</v>
      </c>
      <c r="E300" s="17">
        <f t="shared" si="26"/>
        <v>3.4144239999999999</v>
      </c>
    </row>
    <row r="301" spans="1:10">
      <c r="A301" s="29">
        <v>369</v>
      </c>
      <c r="B301" s="11"/>
      <c r="C301" s="11">
        <v>0.64900000000000002</v>
      </c>
      <c r="D301" s="17">
        <f t="shared" ref="D301" si="27">((C301*$J$292)-$J$293)*10</f>
        <v>8.8995839999999991</v>
      </c>
      <c r="E301" s="17">
        <f t="shared" si="26"/>
        <v>8.8993759999999984</v>
      </c>
    </row>
    <row r="302" spans="1:10">
      <c r="A302" s="29">
        <v>383</v>
      </c>
      <c r="B302" s="11"/>
      <c r="C302" s="11">
        <v>1.758</v>
      </c>
      <c r="D302" s="17">
        <f>((F302*$J$292)-$J$293)*100</f>
        <v>29.31072</v>
      </c>
      <c r="E302" s="17">
        <f t="shared" si="26"/>
        <v>29.310511999999999</v>
      </c>
      <c r="F302" s="7">
        <v>0.217</v>
      </c>
    </row>
    <row r="303" spans="1:10">
      <c r="A303" t="s">
        <v>221</v>
      </c>
      <c r="B303" s="1">
        <v>1.7000000000000001E-2</v>
      </c>
      <c r="C303" s="1"/>
      <c r="D303" s="17">
        <f t="shared" si="25"/>
        <v>1.6787199999999999E-2</v>
      </c>
      <c r="E303" s="17">
        <f t="shared" si="26"/>
        <v>1.6579199999999999E-2</v>
      </c>
    </row>
    <row r="304" spans="1:10">
      <c r="A304" t="s">
        <v>222</v>
      </c>
      <c r="B304">
        <v>1.9E-2</v>
      </c>
      <c r="D304" s="17">
        <f t="shared" si="25"/>
        <v>1.9550399999999996E-2</v>
      </c>
      <c r="E304" s="17">
        <f t="shared" si="26"/>
        <v>1.9342399999999996E-2</v>
      </c>
    </row>
    <row r="305" spans="1:10">
      <c r="A305" t="s">
        <v>223</v>
      </c>
      <c r="B305">
        <v>5.0000000000000001E-3</v>
      </c>
      <c r="D305" s="17">
        <f t="shared" si="25"/>
        <v>2.0799999999999985E-4</v>
      </c>
      <c r="E305" s="17">
        <f t="shared" si="26"/>
        <v>0</v>
      </c>
    </row>
    <row r="307" spans="1:10">
      <c r="A307">
        <v>369</v>
      </c>
      <c r="C307">
        <v>0.153</v>
      </c>
      <c r="D307" s="17">
        <f t="shared" ref="D307" si="28">((C307*$J$292)-$J$293)*10</f>
        <v>2.0468479999999998</v>
      </c>
      <c r="E307" s="17">
        <f>D307-$D$305</f>
        <v>2.0466399999999996</v>
      </c>
    </row>
    <row r="309" spans="1:10">
      <c r="A309" s="7">
        <v>68</v>
      </c>
      <c r="B309" s="7">
        <v>1.887</v>
      </c>
      <c r="C309" s="7">
        <v>0.24</v>
      </c>
      <c r="D309" s="17">
        <f>((C309*$J$319)-$J$320)*10</f>
        <v>3.3210000000000002</v>
      </c>
      <c r="E309" s="17">
        <f>D309-$D$320</f>
        <v>3.3208375000000001</v>
      </c>
      <c r="I309" s="62" t="s">
        <v>257</v>
      </c>
      <c r="J309" s="63"/>
    </row>
    <row r="310" spans="1:10">
      <c r="A310">
        <v>91</v>
      </c>
      <c r="B310">
        <v>0.55400000000000005</v>
      </c>
      <c r="D310" s="17">
        <f>(B310*$J$319)-$J$320</f>
        <v>0.77562500000000012</v>
      </c>
      <c r="E310" s="17">
        <f>D310-$D$320</f>
        <v>0.77546250000000017</v>
      </c>
      <c r="I310" s="64" t="s">
        <v>17</v>
      </c>
      <c r="J310" s="64"/>
    </row>
    <row r="311" spans="1:10">
      <c r="A311">
        <v>95</v>
      </c>
      <c r="B311">
        <v>1.7999999999999999E-2</v>
      </c>
      <c r="D311" s="17">
        <f t="shared" ref="D311:D312" si="29">(B311*$J$319)-$J$320</f>
        <v>1.8525E-2</v>
      </c>
      <c r="E311" s="17">
        <f t="shared" ref="E311:E312" si="30">D311-$D$320</f>
        <v>1.83625E-2</v>
      </c>
      <c r="I311" s="58">
        <v>0</v>
      </c>
      <c r="J311" s="55">
        <v>5.0000000000000001E-3</v>
      </c>
    </row>
    <row r="312" spans="1:10">
      <c r="A312">
        <v>294</v>
      </c>
      <c r="B312">
        <v>0.40600000000000003</v>
      </c>
      <c r="D312" s="17">
        <f t="shared" si="29"/>
        <v>0.56657500000000005</v>
      </c>
      <c r="E312" s="17">
        <f t="shared" si="30"/>
        <v>0.5664125000000001</v>
      </c>
      <c r="I312" s="58">
        <v>0.1</v>
      </c>
      <c r="J312" s="55">
        <v>7.4999999999999997E-2</v>
      </c>
    </row>
    <row r="313" spans="1:10">
      <c r="A313" s="7">
        <v>308</v>
      </c>
      <c r="B313" s="7">
        <v>1.216</v>
      </c>
      <c r="C313" s="7">
        <v>0.13300000000000001</v>
      </c>
      <c r="D313" s="17">
        <f>((C313*$J$319)-$J$320)*10</f>
        <v>1.8096250000000003</v>
      </c>
      <c r="E313" s="17">
        <f>D313-$D$320</f>
        <v>1.8094625000000002</v>
      </c>
      <c r="I313" s="58">
        <v>0.2</v>
      </c>
      <c r="J313" s="55">
        <v>0.14499999999999999</v>
      </c>
    </row>
    <row r="314" spans="1:10">
      <c r="A314" s="7">
        <v>326</v>
      </c>
      <c r="B314" s="7"/>
      <c r="C314" s="7">
        <v>4.8000000000000001E-2</v>
      </c>
      <c r="D314" s="17">
        <f>((C314*$J$319)-$J$320)*10</f>
        <v>0.60899999999999999</v>
      </c>
      <c r="E314" s="17">
        <f>D314-$D$320</f>
        <v>0.60883750000000003</v>
      </c>
      <c r="I314" s="58">
        <v>0.4</v>
      </c>
      <c r="J314" s="55">
        <v>0.28699999999999998</v>
      </c>
    </row>
    <row r="315" spans="1:10">
      <c r="A315" s="7">
        <v>369</v>
      </c>
      <c r="B315" s="7"/>
      <c r="C315" s="7">
        <v>0.27200000000000002</v>
      </c>
      <c r="D315" s="17">
        <f>((C315*$J$319)-$J$320)*10</f>
        <v>3.7730000000000001</v>
      </c>
      <c r="E315" s="17">
        <f>D315-$D$320</f>
        <v>3.7728375000000001</v>
      </c>
      <c r="I315" s="58">
        <v>0.6</v>
      </c>
      <c r="J315" s="55">
        <v>0.433</v>
      </c>
    </row>
    <row r="316" spans="1:10">
      <c r="A316" t="s">
        <v>251</v>
      </c>
      <c r="B316">
        <v>1.9E-2</v>
      </c>
      <c r="D316" s="17">
        <f t="shared" ref="D316:D320" si="31">(B316*$J$319)-$J$320</f>
        <v>1.99375E-2</v>
      </c>
      <c r="E316" s="17">
        <f t="shared" ref="E316:E320" si="32">D316-$D$320</f>
        <v>1.9775000000000001E-2</v>
      </c>
      <c r="I316" s="58">
        <v>0.8</v>
      </c>
      <c r="J316" s="55">
        <v>0.57699999999999996</v>
      </c>
    </row>
    <row r="317" spans="1:10">
      <c r="A317" t="s">
        <v>252</v>
      </c>
      <c r="B317">
        <v>4.7E-2</v>
      </c>
      <c r="D317" s="17">
        <f t="shared" si="31"/>
        <v>5.9487499999999999E-2</v>
      </c>
      <c r="E317" s="17">
        <f t="shared" si="32"/>
        <v>5.9324999999999996E-2</v>
      </c>
      <c r="I317" s="58">
        <v>1</v>
      </c>
      <c r="J317" s="15">
        <v>0.70699999999999996</v>
      </c>
    </row>
    <row r="318" spans="1:10">
      <c r="A318" t="s">
        <v>253</v>
      </c>
      <c r="B318">
        <v>6.0000000000000001E-3</v>
      </c>
      <c r="D318" s="17">
        <f t="shared" si="31"/>
        <v>1.575E-3</v>
      </c>
      <c r="E318" s="17">
        <f t="shared" si="32"/>
        <v>1.4124999999999997E-3</v>
      </c>
    </row>
    <row r="319" spans="1:10">
      <c r="A319" t="s">
        <v>254</v>
      </c>
      <c r="B319">
        <v>6.0000000000000001E-3</v>
      </c>
      <c r="D319" s="17">
        <f t="shared" si="31"/>
        <v>1.575E-3</v>
      </c>
      <c r="E319" s="17">
        <f t="shared" si="32"/>
        <v>1.4124999999999997E-3</v>
      </c>
      <c r="I319" s="5" t="s">
        <v>260</v>
      </c>
      <c r="J319" s="61">
        <v>1.4125000000000001</v>
      </c>
    </row>
    <row r="320" spans="1:10">
      <c r="A320" t="s">
        <v>255</v>
      </c>
      <c r="B320">
        <v>5.0000000000000001E-3</v>
      </c>
      <c r="D320" s="17">
        <f t="shared" si="31"/>
        <v>1.6250000000000032E-4</v>
      </c>
      <c r="E320" s="17">
        <f t="shared" si="32"/>
        <v>0</v>
      </c>
      <c r="I320" s="5" t="s">
        <v>261</v>
      </c>
      <c r="J320" s="61">
        <v>6.8999999999999999E-3</v>
      </c>
    </row>
    <row r="322" spans="2:3">
      <c r="B322" s="2" t="s">
        <v>266</v>
      </c>
      <c r="C322" s="2">
        <f>_xlfn.STDEV.S(D320,D305,D279,E251,E223,D195,D168,E140,D112,D84,E56,D28)</f>
        <v>2.1193962900936857E-2</v>
      </c>
    </row>
    <row r="323" spans="2:3">
      <c r="B323" s="69" t="s">
        <v>264</v>
      </c>
      <c r="C323" s="69">
        <f>3*C322</f>
        <v>6.3581888702810563E-2</v>
      </c>
    </row>
    <row r="324" spans="2:3">
      <c r="B324" s="69" t="s">
        <v>265</v>
      </c>
      <c r="C324" s="69">
        <f>10*C322</f>
        <v>0.21193962900936858</v>
      </c>
    </row>
  </sheetData>
  <mergeCells count="24">
    <mergeCell ref="I309:J309"/>
    <mergeCell ref="I310:J310"/>
    <mergeCell ref="I282:J282"/>
    <mergeCell ref="I283:J283"/>
    <mergeCell ref="I60:J60"/>
    <mergeCell ref="I88:J88"/>
    <mergeCell ref="I89:J89"/>
    <mergeCell ref="I115:J115"/>
    <mergeCell ref="I116:J116"/>
    <mergeCell ref="I146:J146"/>
    <mergeCell ref="I225:J225"/>
    <mergeCell ref="I226:J226"/>
    <mergeCell ref="I255:J255"/>
    <mergeCell ref="I256:J256"/>
    <mergeCell ref="I147:J147"/>
    <mergeCell ref="I171:J171"/>
    <mergeCell ref="I172:J172"/>
    <mergeCell ref="I199:J199"/>
    <mergeCell ref="I200:J200"/>
    <mergeCell ref="I59:J59"/>
    <mergeCell ref="G6:I6"/>
    <mergeCell ref="G32:J32"/>
    <mergeCell ref="G33:H33"/>
    <mergeCell ref="I33:J33"/>
  </mergeCells>
  <phoneticPr fontId="7" type="noConversion"/>
  <conditionalFormatting sqref="E88:E112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P-available</vt:lpstr>
      <vt:lpstr>P-Ca bound</vt:lpstr>
    </vt:vector>
  </TitlesOfParts>
  <Company>GWDG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Asabere, Stephen Boahen</dc:creator>
  <cp:lastModifiedBy>Asabere, Stephen Boahen</cp:lastModifiedBy>
  <dcterms:created xsi:type="dcterms:W3CDTF">2018-06-11T14:34:23Z</dcterms:created>
  <dcterms:modified xsi:type="dcterms:W3CDTF">2026-01-23T17:31:13Z</dcterms:modified>
</cp:coreProperties>
</file>