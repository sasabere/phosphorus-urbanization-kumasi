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aber\ownCloud - sasaber@gwdg.de@owncloud.gwdg.de\PostDoc\Papers_To_Be_completed_from_PhD\Paper 4_Pfractions\R_analysis_2026on\Raw_data_reassessed\"/>
    </mc:Choice>
  </mc:AlternateContent>
  <xr:revisionPtr revIDLastSave="0" documentId="13_ncr:1_{221B453F-38A3-40D8-82D3-174E63EBDDFA}" xr6:coauthVersionLast="47" xr6:coauthVersionMax="47" xr10:uidLastSave="{00000000-0000-0000-0000-000000000000}"/>
  <bookViews>
    <workbookView xWindow="3075" yWindow="2835" windowWidth="29055" windowHeight="18480" xr2:uid="{00000000-000D-0000-FFFF-FFFF00000000}"/>
  </bookViews>
  <sheets>
    <sheet name="results" sheetId="2" r:id="rId1"/>
    <sheet name="compare" sheetId="1" r:id="rId2"/>
  </sheets>
  <definedNames>
    <definedName name="ExternalData_1" localSheetId="0" hidden="1">results!$A$1:$M$287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77" i="2" l="1"/>
  <c r="L278" i="2"/>
  <c r="L279" i="2"/>
  <c r="L280" i="2"/>
  <c r="L281" i="2"/>
  <c r="L282" i="2"/>
  <c r="L283" i="2"/>
  <c r="L284" i="2"/>
  <c r="L285" i="2"/>
  <c r="L286" i="2"/>
  <c r="L276" i="2"/>
  <c r="K277" i="2"/>
  <c r="K278" i="2"/>
  <c r="K279" i="2"/>
  <c r="K280" i="2"/>
  <c r="K281" i="2"/>
  <c r="K282" i="2"/>
  <c r="K283" i="2"/>
  <c r="K284" i="2"/>
  <c r="K285" i="2"/>
  <c r="K286" i="2"/>
  <c r="K287" i="2"/>
  <c r="K276" i="2"/>
  <c r="G277" i="2"/>
  <c r="G278" i="2"/>
  <c r="G279" i="2"/>
  <c r="G280" i="2"/>
  <c r="G281" i="2"/>
  <c r="G282" i="2"/>
  <c r="G283" i="2"/>
  <c r="G284" i="2"/>
  <c r="G285" i="2"/>
  <c r="G286" i="2"/>
  <c r="G276" i="2"/>
  <c r="F277" i="2"/>
  <c r="F278" i="2"/>
  <c r="F279" i="2"/>
  <c r="F280" i="2"/>
  <c r="F281" i="2"/>
  <c r="F282" i="2"/>
  <c r="F283" i="2"/>
  <c r="F284" i="2"/>
  <c r="F285" i="2"/>
  <c r="F286" i="2"/>
  <c r="F287" i="2"/>
  <c r="F276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53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28" i="2"/>
  <c r="K252" i="2"/>
  <c r="K251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28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03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178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03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78" i="2"/>
  <c r="G79" i="2"/>
  <c r="G80" i="2"/>
  <c r="G81" i="2"/>
  <c r="G82" i="2"/>
  <c r="G83" i="2"/>
  <c r="G87" i="2"/>
  <c r="G88" i="2"/>
  <c r="G89" i="2"/>
  <c r="G91" i="2"/>
  <c r="G93" i="2"/>
  <c r="G96" i="2"/>
  <c r="G99" i="2"/>
  <c r="G78" i="2"/>
  <c r="F102" i="2"/>
  <c r="F79" i="2"/>
  <c r="F80" i="2"/>
  <c r="F81" i="2"/>
  <c r="F82" i="2"/>
  <c r="F83" i="2"/>
  <c r="F87" i="2"/>
  <c r="F88" i="2"/>
  <c r="F89" i="2"/>
  <c r="F91" i="2"/>
  <c r="F93" i="2"/>
  <c r="F96" i="2"/>
  <c r="F99" i="2"/>
  <c r="F78" i="2"/>
  <c r="L36" i="2"/>
  <c r="L37" i="2"/>
  <c r="L38" i="2"/>
  <c r="L39" i="2"/>
  <c r="L40" i="2"/>
  <c r="L41" i="2"/>
  <c r="L42" i="2"/>
  <c r="L43" i="2"/>
  <c r="L44" i="2"/>
  <c r="L28" i="2"/>
  <c r="L3" i="2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K37" i="2"/>
  <c r="K38" i="2"/>
  <c r="K39" i="2"/>
  <c r="K40" i="2"/>
  <c r="K41" i="2"/>
  <c r="K42" i="2"/>
  <c r="K43" i="2"/>
  <c r="K44" i="2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K28" i="2"/>
  <c r="N27" i="2" l="1"/>
  <c r="O27" i="2" s="1"/>
  <c r="N52" i="2"/>
  <c r="O52" i="2" s="1"/>
  <c r="N77" i="2"/>
  <c r="O77" i="2" s="1"/>
  <c r="N102" i="2"/>
  <c r="O102" i="2" s="1"/>
  <c r="N127" i="2"/>
  <c r="O127" i="2" s="1"/>
  <c r="N152" i="2"/>
  <c r="O152" i="2" s="1"/>
  <c r="N177" i="2"/>
  <c r="O177" i="2" s="1"/>
  <c r="N202" i="2"/>
  <c r="O202" i="2" s="1"/>
  <c r="N227" i="2"/>
  <c r="O227" i="2" s="1"/>
  <c r="N252" i="2"/>
  <c r="O252" i="2" s="1"/>
  <c r="N275" i="2"/>
  <c r="O275" i="2" s="1"/>
  <c r="N287" i="2"/>
  <c r="O287" i="2" s="1"/>
  <c r="D3" i="2" l="1"/>
  <c r="D4" i="2"/>
  <c r="D5" i="2"/>
  <c r="D6" i="2"/>
  <c r="D7" i="2"/>
  <c r="N7" i="2" s="1"/>
  <c r="O7" i="2" s="1"/>
  <c r="D8" i="2"/>
  <c r="N8" i="2" s="1"/>
  <c r="O8" i="2" s="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I250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N25" i="2" s="1"/>
  <c r="O25" i="2" s="1"/>
  <c r="L26" i="2"/>
  <c r="N26" i="2" s="1"/>
  <c r="O26" i="2" s="1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103" i="2"/>
  <c r="L104" i="2"/>
  <c r="L105" i="2"/>
  <c r="L106" i="2"/>
  <c r="L108" i="2"/>
  <c r="L109" i="2"/>
  <c r="L113" i="2"/>
  <c r="L114" i="2"/>
  <c r="L115" i="2"/>
  <c r="L118" i="2"/>
  <c r="L120" i="2"/>
  <c r="L124" i="2"/>
  <c r="L125" i="2"/>
  <c r="L126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4" i="2"/>
  <c r="L5" i="2"/>
  <c r="L6" i="2"/>
  <c r="D116" i="2"/>
  <c r="G242" i="2"/>
  <c r="G243" i="2"/>
  <c r="G244" i="2"/>
  <c r="G245" i="2"/>
  <c r="G246" i="2"/>
  <c r="G247" i="2"/>
  <c r="G248" i="2"/>
  <c r="G249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7" i="2"/>
  <c r="D118" i="2"/>
  <c r="D119" i="2"/>
  <c r="D120" i="2"/>
  <c r="D121" i="2"/>
  <c r="D122" i="2"/>
  <c r="D123" i="2"/>
  <c r="D124" i="2"/>
  <c r="D125" i="2"/>
  <c r="D126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6" i="2"/>
  <c r="D277" i="2"/>
  <c r="D278" i="2"/>
  <c r="D279" i="2"/>
  <c r="D280" i="2"/>
  <c r="D281" i="2"/>
  <c r="D282" i="2"/>
  <c r="D283" i="2"/>
  <c r="D284" i="2"/>
  <c r="D285" i="2"/>
  <c r="D286" i="2"/>
  <c r="I4" i="2"/>
  <c r="I5" i="2"/>
  <c r="N5" i="2" s="1"/>
  <c r="O5" i="2" s="1"/>
  <c r="I6" i="2"/>
  <c r="I9" i="2"/>
  <c r="I10" i="2"/>
  <c r="I11" i="2"/>
  <c r="I12" i="2"/>
  <c r="I13" i="2"/>
  <c r="I14" i="2"/>
  <c r="I15" i="2"/>
  <c r="I16" i="2"/>
  <c r="I17" i="2"/>
  <c r="N17" i="2" s="1"/>
  <c r="O17" i="2" s="1"/>
  <c r="I18" i="2"/>
  <c r="I19" i="2"/>
  <c r="N19" i="2" s="1"/>
  <c r="O19" i="2" s="1"/>
  <c r="I20" i="2"/>
  <c r="I21" i="2"/>
  <c r="I22" i="2"/>
  <c r="I23" i="2"/>
  <c r="I24" i="2"/>
  <c r="I25" i="2"/>
  <c r="I26" i="2"/>
  <c r="I28" i="2"/>
  <c r="N28" i="2" s="1"/>
  <c r="O28" i="2" s="1"/>
  <c r="I29" i="2"/>
  <c r="I30" i="2"/>
  <c r="N30" i="2" s="1"/>
  <c r="O30" i="2" s="1"/>
  <c r="I31" i="2"/>
  <c r="I32" i="2"/>
  <c r="N32" i="2" s="1"/>
  <c r="O32" i="2" s="1"/>
  <c r="I33" i="2"/>
  <c r="N33" i="2" s="1"/>
  <c r="O33" i="2" s="1"/>
  <c r="I34" i="2"/>
  <c r="N34" i="2" s="1"/>
  <c r="O34" i="2" s="1"/>
  <c r="I35" i="2"/>
  <c r="N35" i="2" s="1"/>
  <c r="O35" i="2" s="1"/>
  <c r="I36" i="2"/>
  <c r="N36" i="2" s="1"/>
  <c r="O36" i="2" s="1"/>
  <c r="I37" i="2"/>
  <c r="N37" i="2" s="1"/>
  <c r="O37" i="2" s="1"/>
  <c r="I38" i="2"/>
  <c r="I39" i="2"/>
  <c r="N39" i="2" s="1"/>
  <c r="O39" i="2" s="1"/>
  <c r="I40" i="2"/>
  <c r="I41" i="2"/>
  <c r="N41" i="2" s="1"/>
  <c r="O41" i="2" s="1"/>
  <c r="I42" i="2"/>
  <c r="N42" i="2" s="1"/>
  <c r="O42" i="2" s="1"/>
  <c r="I43" i="2"/>
  <c r="I44" i="2"/>
  <c r="N44" i="2" s="1"/>
  <c r="O44" i="2" s="1"/>
  <c r="I45" i="2"/>
  <c r="I46" i="2"/>
  <c r="N46" i="2" s="1"/>
  <c r="O46" i="2" s="1"/>
  <c r="I47" i="2"/>
  <c r="I48" i="2"/>
  <c r="N48" i="2" s="1"/>
  <c r="O48" i="2" s="1"/>
  <c r="I49" i="2"/>
  <c r="N49" i="2" s="1"/>
  <c r="O49" i="2" s="1"/>
  <c r="I50" i="2"/>
  <c r="N50" i="2" s="1"/>
  <c r="O50" i="2" s="1"/>
  <c r="I51" i="2"/>
  <c r="N51" i="2" s="1"/>
  <c r="O51" i="2" s="1"/>
  <c r="I53" i="2"/>
  <c r="I54" i="2"/>
  <c r="I55" i="2"/>
  <c r="I56" i="2"/>
  <c r="I57" i="2"/>
  <c r="I58" i="2"/>
  <c r="I59" i="2"/>
  <c r="I60" i="2"/>
  <c r="I61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8" i="2"/>
  <c r="I79" i="2"/>
  <c r="I80" i="2"/>
  <c r="I81" i="2"/>
  <c r="I82" i="2"/>
  <c r="I83" i="2"/>
  <c r="I88" i="2"/>
  <c r="I89" i="2"/>
  <c r="I100" i="2"/>
  <c r="I101" i="2"/>
  <c r="I103" i="2"/>
  <c r="I104" i="2"/>
  <c r="I105" i="2"/>
  <c r="I106" i="2"/>
  <c r="I108" i="2"/>
  <c r="I109" i="2"/>
  <c r="I113" i="2"/>
  <c r="I114" i="2"/>
  <c r="I115" i="2"/>
  <c r="I118" i="2"/>
  <c r="I120" i="2"/>
  <c r="I124" i="2"/>
  <c r="I125" i="2"/>
  <c r="I126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3" i="2"/>
  <c r="I204" i="2"/>
  <c r="I206" i="2"/>
  <c r="I207" i="2"/>
  <c r="I208" i="2"/>
  <c r="I209" i="2"/>
  <c r="I210" i="2"/>
  <c r="I211" i="2"/>
  <c r="I212" i="2"/>
  <c r="I213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8" i="2"/>
  <c r="I229" i="2"/>
  <c r="I230" i="2"/>
  <c r="I231" i="2"/>
  <c r="I232" i="2"/>
  <c r="I233" i="2"/>
  <c r="I234" i="2"/>
  <c r="I235" i="2"/>
  <c r="I237" i="2"/>
  <c r="I238" i="2"/>
  <c r="I239" i="2"/>
  <c r="I242" i="2"/>
  <c r="I243" i="2"/>
  <c r="I245" i="2"/>
  <c r="I246" i="2"/>
  <c r="I247" i="2"/>
  <c r="I248" i="2"/>
  <c r="I249" i="2"/>
  <c r="I253" i="2"/>
  <c r="I254" i="2"/>
  <c r="I256" i="2"/>
  <c r="I257" i="2"/>
  <c r="I258" i="2"/>
  <c r="I259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6" i="2"/>
  <c r="I277" i="2"/>
  <c r="I278" i="2"/>
  <c r="I279" i="2"/>
  <c r="I280" i="2"/>
  <c r="I281" i="2"/>
  <c r="I282" i="2"/>
  <c r="I283" i="2"/>
  <c r="I284" i="2"/>
  <c r="I285" i="2"/>
  <c r="I286" i="2"/>
  <c r="I3" i="2"/>
  <c r="N3" i="2" s="1"/>
  <c r="O3" i="2" s="1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50" i="2"/>
  <c r="G251" i="2"/>
  <c r="I251" i="2"/>
  <c r="N21" i="2" l="1"/>
  <c r="O21" i="2" s="1"/>
  <c r="N15" i="2"/>
  <c r="O15" i="2" s="1"/>
  <c r="N244" i="2"/>
  <c r="O244" i="2" s="1"/>
  <c r="N14" i="2"/>
  <c r="O14" i="2" s="1"/>
  <c r="N13" i="2"/>
  <c r="O13" i="2" s="1"/>
  <c r="N6" i="2"/>
  <c r="O6" i="2" s="1"/>
  <c r="N12" i="2"/>
  <c r="O12" i="2" s="1"/>
  <c r="N4" i="2"/>
  <c r="O4" i="2" s="1"/>
  <c r="N10" i="2"/>
  <c r="O10" i="2" s="1"/>
  <c r="N40" i="2"/>
  <c r="O40" i="2" s="1"/>
  <c r="N47" i="2"/>
  <c r="O47" i="2" s="1"/>
  <c r="N31" i="2"/>
  <c r="O31" i="2" s="1"/>
  <c r="N245" i="2"/>
  <c r="O245" i="2" s="1"/>
  <c r="N229" i="2"/>
  <c r="O229" i="2" s="1"/>
  <c r="N212" i="2"/>
  <c r="O212" i="2" s="1"/>
  <c r="N45" i="2"/>
  <c r="O45" i="2" s="1"/>
  <c r="N29" i="2"/>
  <c r="O29" i="2" s="1"/>
  <c r="N43" i="2"/>
  <c r="O43" i="2" s="1"/>
  <c r="N11" i="2"/>
  <c r="O11" i="2" s="1"/>
  <c r="N272" i="2"/>
  <c r="O272" i="2" s="1"/>
  <c r="N256" i="2"/>
  <c r="O256" i="2" s="1"/>
  <c r="N9" i="2"/>
  <c r="O9" i="2" s="1"/>
  <c r="N271" i="2"/>
  <c r="O271" i="2" s="1"/>
  <c r="N255" i="2"/>
  <c r="O255" i="2" s="1"/>
  <c r="N238" i="2"/>
  <c r="O238" i="2" s="1"/>
  <c r="N221" i="2"/>
  <c r="O221" i="2" s="1"/>
  <c r="N205" i="2"/>
  <c r="O205" i="2" s="1"/>
  <c r="N188" i="2"/>
  <c r="O188" i="2" s="1"/>
  <c r="N171" i="2"/>
  <c r="O171" i="2" s="1"/>
  <c r="N155" i="2"/>
  <c r="O155" i="2" s="1"/>
  <c r="N138" i="2"/>
  <c r="O138" i="2" s="1"/>
  <c r="N121" i="2"/>
  <c r="O121" i="2" s="1"/>
  <c r="N104" i="2"/>
  <c r="O104" i="2" s="1"/>
  <c r="N87" i="2"/>
  <c r="O87" i="2" s="1"/>
  <c r="N70" i="2"/>
  <c r="O70" i="2" s="1"/>
  <c r="N54" i="2"/>
  <c r="O54" i="2" s="1"/>
  <c r="N24" i="2"/>
  <c r="O24" i="2" s="1"/>
  <c r="N270" i="2"/>
  <c r="O270" i="2" s="1"/>
  <c r="N254" i="2"/>
  <c r="O254" i="2" s="1"/>
  <c r="N237" i="2"/>
  <c r="O237" i="2" s="1"/>
  <c r="N220" i="2"/>
  <c r="O220" i="2" s="1"/>
  <c r="N204" i="2"/>
  <c r="O204" i="2" s="1"/>
  <c r="N187" i="2"/>
  <c r="O187" i="2" s="1"/>
  <c r="N170" i="2"/>
  <c r="O170" i="2" s="1"/>
  <c r="N154" i="2"/>
  <c r="O154" i="2" s="1"/>
  <c r="N137" i="2"/>
  <c r="O137" i="2" s="1"/>
  <c r="N120" i="2"/>
  <c r="O120" i="2" s="1"/>
  <c r="N103" i="2"/>
  <c r="O103" i="2" s="1"/>
  <c r="N86" i="2"/>
  <c r="O86" i="2" s="1"/>
  <c r="N69" i="2"/>
  <c r="O69" i="2" s="1"/>
  <c r="N53" i="2"/>
  <c r="O53" i="2" s="1"/>
  <c r="N23" i="2"/>
  <c r="O23" i="2" s="1"/>
  <c r="N38" i="2"/>
  <c r="O38" i="2" s="1"/>
  <c r="N22" i="2"/>
  <c r="O22" i="2" s="1"/>
  <c r="N18" i="2"/>
  <c r="O18" i="2" s="1"/>
  <c r="N20" i="2"/>
  <c r="O20" i="2" s="1"/>
  <c r="N280" i="2"/>
  <c r="O280" i="2" s="1"/>
  <c r="N263" i="2"/>
  <c r="O263" i="2" s="1"/>
  <c r="N246" i="2"/>
  <c r="O246" i="2" s="1"/>
  <c r="N230" i="2"/>
  <c r="O230" i="2" s="1"/>
  <c r="N213" i="2"/>
  <c r="O213" i="2" s="1"/>
  <c r="N196" i="2"/>
  <c r="O196" i="2" s="1"/>
  <c r="N180" i="2"/>
  <c r="O180" i="2" s="1"/>
  <c r="N163" i="2"/>
  <c r="O163" i="2" s="1"/>
  <c r="N146" i="2"/>
  <c r="O146" i="2" s="1"/>
  <c r="N130" i="2"/>
  <c r="O130" i="2" s="1"/>
  <c r="N112" i="2"/>
  <c r="O112" i="2" s="1"/>
  <c r="N95" i="2"/>
  <c r="O95" i="2" s="1"/>
  <c r="N79" i="2"/>
  <c r="O79" i="2" s="1"/>
  <c r="N62" i="2"/>
  <c r="O62" i="2" s="1"/>
  <c r="N16" i="2"/>
  <c r="O16" i="2" s="1"/>
  <c r="N239" i="2"/>
  <c r="O239" i="2" s="1"/>
  <c r="N222" i="2"/>
  <c r="O222" i="2" s="1"/>
  <c r="N206" i="2"/>
  <c r="O206" i="2" s="1"/>
  <c r="N189" i="2"/>
  <c r="O189" i="2" s="1"/>
  <c r="N172" i="2"/>
  <c r="O172" i="2" s="1"/>
  <c r="N156" i="2"/>
  <c r="O156" i="2" s="1"/>
  <c r="N139" i="2"/>
  <c r="O139" i="2" s="1"/>
  <c r="N122" i="2"/>
  <c r="O122" i="2" s="1"/>
  <c r="N105" i="2"/>
  <c r="O105" i="2" s="1"/>
  <c r="N88" i="2"/>
  <c r="O88" i="2" s="1"/>
  <c r="N71" i="2"/>
  <c r="O71" i="2" s="1"/>
  <c r="N55" i="2"/>
  <c r="O55" i="2" s="1"/>
  <c r="N286" i="2"/>
  <c r="O286" i="2" s="1"/>
  <c r="N269" i="2"/>
  <c r="O269" i="2" s="1"/>
  <c r="N253" i="2"/>
  <c r="O253" i="2" s="1"/>
  <c r="N236" i="2"/>
  <c r="O236" i="2" s="1"/>
  <c r="N219" i="2"/>
  <c r="O219" i="2" s="1"/>
  <c r="N203" i="2"/>
  <c r="O203" i="2" s="1"/>
  <c r="N186" i="2"/>
  <c r="O186" i="2" s="1"/>
  <c r="N169" i="2"/>
  <c r="O169" i="2" s="1"/>
  <c r="N153" i="2"/>
  <c r="O153" i="2" s="1"/>
  <c r="N136" i="2"/>
  <c r="O136" i="2" s="1"/>
  <c r="N119" i="2"/>
  <c r="O119" i="2" s="1"/>
  <c r="N101" i="2"/>
  <c r="O101" i="2" s="1"/>
  <c r="N85" i="2"/>
  <c r="O85" i="2" s="1"/>
  <c r="N68" i="2"/>
  <c r="O68" i="2" s="1"/>
  <c r="N285" i="2"/>
  <c r="O285" i="2" s="1"/>
  <c r="N268" i="2"/>
  <c r="O268" i="2" s="1"/>
  <c r="N251" i="2"/>
  <c r="O251" i="2" s="1"/>
  <c r="N235" i="2"/>
  <c r="O235" i="2" s="1"/>
  <c r="N218" i="2"/>
  <c r="O218" i="2" s="1"/>
  <c r="N201" i="2"/>
  <c r="O201" i="2" s="1"/>
  <c r="N185" i="2"/>
  <c r="O185" i="2" s="1"/>
  <c r="N168" i="2"/>
  <c r="O168" i="2" s="1"/>
  <c r="N151" i="2"/>
  <c r="O151" i="2" s="1"/>
  <c r="N135" i="2"/>
  <c r="O135" i="2" s="1"/>
  <c r="N118" i="2"/>
  <c r="O118" i="2" s="1"/>
  <c r="N100" i="2"/>
  <c r="O100" i="2" s="1"/>
  <c r="N84" i="2"/>
  <c r="O84" i="2" s="1"/>
  <c r="N67" i="2"/>
  <c r="O67" i="2" s="1"/>
  <c r="N284" i="2"/>
  <c r="O284" i="2" s="1"/>
  <c r="N267" i="2"/>
  <c r="O267" i="2" s="1"/>
  <c r="N250" i="2"/>
  <c r="O250" i="2" s="1"/>
  <c r="N234" i="2"/>
  <c r="O234" i="2" s="1"/>
  <c r="N217" i="2"/>
  <c r="O217" i="2" s="1"/>
  <c r="N200" i="2"/>
  <c r="O200" i="2" s="1"/>
  <c r="N184" i="2"/>
  <c r="O184" i="2" s="1"/>
  <c r="N167" i="2"/>
  <c r="O167" i="2" s="1"/>
  <c r="N150" i="2"/>
  <c r="O150" i="2" s="1"/>
  <c r="N134" i="2"/>
  <c r="O134" i="2" s="1"/>
  <c r="N117" i="2"/>
  <c r="O117" i="2" s="1"/>
  <c r="N99" i="2"/>
  <c r="O99" i="2" s="1"/>
  <c r="N83" i="2"/>
  <c r="O83" i="2" s="1"/>
  <c r="N66" i="2"/>
  <c r="O66" i="2" s="1"/>
  <c r="N283" i="2"/>
  <c r="O283" i="2" s="1"/>
  <c r="N266" i="2"/>
  <c r="O266" i="2" s="1"/>
  <c r="N249" i="2"/>
  <c r="O249" i="2" s="1"/>
  <c r="N233" i="2"/>
  <c r="O233" i="2" s="1"/>
  <c r="N216" i="2"/>
  <c r="O216" i="2" s="1"/>
  <c r="N199" i="2"/>
  <c r="O199" i="2" s="1"/>
  <c r="N183" i="2"/>
  <c r="O183" i="2" s="1"/>
  <c r="N166" i="2"/>
  <c r="O166" i="2" s="1"/>
  <c r="N149" i="2"/>
  <c r="O149" i="2" s="1"/>
  <c r="N133" i="2"/>
  <c r="O133" i="2" s="1"/>
  <c r="N115" i="2"/>
  <c r="O115" i="2" s="1"/>
  <c r="N98" i="2"/>
  <c r="O98" i="2" s="1"/>
  <c r="N82" i="2"/>
  <c r="O82" i="2" s="1"/>
  <c r="N65" i="2"/>
  <c r="O65" i="2" s="1"/>
  <c r="N282" i="2"/>
  <c r="O282" i="2" s="1"/>
  <c r="N265" i="2"/>
  <c r="O265" i="2" s="1"/>
  <c r="N248" i="2"/>
  <c r="O248" i="2" s="1"/>
  <c r="N232" i="2"/>
  <c r="O232" i="2" s="1"/>
  <c r="N215" i="2"/>
  <c r="O215" i="2" s="1"/>
  <c r="N198" i="2"/>
  <c r="O198" i="2" s="1"/>
  <c r="N182" i="2"/>
  <c r="O182" i="2" s="1"/>
  <c r="N165" i="2"/>
  <c r="O165" i="2" s="1"/>
  <c r="N148" i="2"/>
  <c r="O148" i="2" s="1"/>
  <c r="N132" i="2"/>
  <c r="O132" i="2" s="1"/>
  <c r="N114" i="2"/>
  <c r="O114" i="2" s="1"/>
  <c r="N97" i="2"/>
  <c r="O97" i="2" s="1"/>
  <c r="N81" i="2"/>
  <c r="O81" i="2" s="1"/>
  <c r="N64" i="2"/>
  <c r="O64" i="2" s="1"/>
  <c r="N281" i="2"/>
  <c r="O281" i="2" s="1"/>
  <c r="N264" i="2"/>
  <c r="O264" i="2" s="1"/>
  <c r="N247" i="2"/>
  <c r="O247" i="2" s="1"/>
  <c r="N231" i="2"/>
  <c r="O231" i="2" s="1"/>
  <c r="N214" i="2"/>
  <c r="O214" i="2" s="1"/>
  <c r="N197" i="2"/>
  <c r="O197" i="2" s="1"/>
  <c r="N181" i="2"/>
  <c r="O181" i="2" s="1"/>
  <c r="N164" i="2"/>
  <c r="O164" i="2" s="1"/>
  <c r="N147" i="2"/>
  <c r="O147" i="2" s="1"/>
  <c r="N131" i="2"/>
  <c r="O131" i="2" s="1"/>
  <c r="N113" i="2"/>
  <c r="O113" i="2" s="1"/>
  <c r="N96" i="2"/>
  <c r="O96" i="2" s="1"/>
  <c r="N80" i="2"/>
  <c r="O80" i="2" s="1"/>
  <c r="N63" i="2"/>
  <c r="O63" i="2" s="1"/>
  <c r="N195" i="2"/>
  <c r="O195" i="2" s="1"/>
  <c r="N179" i="2"/>
  <c r="O179" i="2" s="1"/>
  <c r="N162" i="2"/>
  <c r="O162" i="2" s="1"/>
  <c r="N145" i="2"/>
  <c r="O145" i="2" s="1"/>
  <c r="N129" i="2"/>
  <c r="O129" i="2" s="1"/>
  <c r="N111" i="2"/>
  <c r="O111" i="2" s="1"/>
  <c r="N94" i="2"/>
  <c r="O94" i="2" s="1"/>
  <c r="N78" i="2"/>
  <c r="O78" i="2" s="1"/>
  <c r="N61" i="2"/>
  <c r="O61" i="2" s="1"/>
  <c r="N278" i="2"/>
  <c r="O278" i="2" s="1"/>
  <c r="N261" i="2"/>
  <c r="O261" i="2" s="1"/>
  <c r="N228" i="2"/>
  <c r="O228" i="2" s="1"/>
  <c r="N211" i="2"/>
  <c r="O211" i="2" s="1"/>
  <c r="N194" i="2"/>
  <c r="O194" i="2" s="1"/>
  <c r="N178" i="2"/>
  <c r="O178" i="2" s="1"/>
  <c r="N161" i="2"/>
  <c r="O161" i="2" s="1"/>
  <c r="N144" i="2"/>
  <c r="O144" i="2" s="1"/>
  <c r="N128" i="2"/>
  <c r="O128" i="2" s="1"/>
  <c r="N110" i="2"/>
  <c r="O110" i="2" s="1"/>
  <c r="N93" i="2"/>
  <c r="O93" i="2" s="1"/>
  <c r="N76" i="2"/>
  <c r="O76" i="2" s="1"/>
  <c r="N60" i="2"/>
  <c r="O60" i="2" s="1"/>
  <c r="N116" i="2"/>
  <c r="O116" i="2" s="1"/>
  <c r="N262" i="2"/>
  <c r="O262" i="2" s="1"/>
  <c r="N277" i="2"/>
  <c r="O277" i="2" s="1"/>
  <c r="N260" i="2"/>
  <c r="O260" i="2" s="1"/>
  <c r="N243" i="2"/>
  <c r="O243" i="2" s="1"/>
  <c r="N226" i="2"/>
  <c r="O226" i="2" s="1"/>
  <c r="N210" i="2"/>
  <c r="O210" i="2" s="1"/>
  <c r="N193" i="2"/>
  <c r="O193" i="2" s="1"/>
  <c r="N176" i="2"/>
  <c r="O176" i="2" s="1"/>
  <c r="N160" i="2"/>
  <c r="O160" i="2" s="1"/>
  <c r="N143" i="2"/>
  <c r="O143" i="2" s="1"/>
  <c r="N126" i="2"/>
  <c r="O126" i="2" s="1"/>
  <c r="N109" i="2"/>
  <c r="O109" i="2" s="1"/>
  <c r="N92" i="2"/>
  <c r="O92" i="2" s="1"/>
  <c r="N75" i="2"/>
  <c r="O75" i="2" s="1"/>
  <c r="N59" i="2"/>
  <c r="O59" i="2" s="1"/>
  <c r="N276" i="2"/>
  <c r="O276" i="2" s="1"/>
  <c r="N259" i="2"/>
  <c r="O259" i="2" s="1"/>
  <c r="N242" i="2"/>
  <c r="O242" i="2" s="1"/>
  <c r="N225" i="2"/>
  <c r="O225" i="2" s="1"/>
  <c r="N209" i="2"/>
  <c r="O209" i="2" s="1"/>
  <c r="N192" i="2"/>
  <c r="O192" i="2" s="1"/>
  <c r="N175" i="2"/>
  <c r="O175" i="2" s="1"/>
  <c r="N159" i="2"/>
  <c r="O159" i="2" s="1"/>
  <c r="N142" i="2"/>
  <c r="O142" i="2" s="1"/>
  <c r="N125" i="2"/>
  <c r="O125" i="2" s="1"/>
  <c r="N108" i="2"/>
  <c r="O108" i="2" s="1"/>
  <c r="N91" i="2"/>
  <c r="O91" i="2" s="1"/>
  <c r="N74" i="2"/>
  <c r="O74" i="2" s="1"/>
  <c r="N58" i="2"/>
  <c r="O58" i="2" s="1"/>
  <c r="N279" i="2"/>
  <c r="O279" i="2" s="1"/>
  <c r="N274" i="2"/>
  <c r="O274" i="2" s="1"/>
  <c r="N258" i="2"/>
  <c r="O258" i="2" s="1"/>
  <c r="N241" i="2"/>
  <c r="O241" i="2" s="1"/>
  <c r="N224" i="2"/>
  <c r="O224" i="2" s="1"/>
  <c r="N208" i="2"/>
  <c r="O208" i="2" s="1"/>
  <c r="N191" i="2"/>
  <c r="O191" i="2" s="1"/>
  <c r="N174" i="2"/>
  <c r="O174" i="2" s="1"/>
  <c r="N158" i="2"/>
  <c r="O158" i="2" s="1"/>
  <c r="N141" i="2"/>
  <c r="O141" i="2" s="1"/>
  <c r="N124" i="2"/>
  <c r="O124" i="2" s="1"/>
  <c r="N107" i="2"/>
  <c r="O107" i="2" s="1"/>
  <c r="N90" i="2"/>
  <c r="O90" i="2" s="1"/>
  <c r="N73" i="2"/>
  <c r="O73" i="2" s="1"/>
  <c r="N57" i="2"/>
  <c r="O57" i="2" s="1"/>
  <c r="N273" i="2"/>
  <c r="O273" i="2" s="1"/>
  <c r="N257" i="2"/>
  <c r="O257" i="2" s="1"/>
  <c r="N240" i="2"/>
  <c r="O240" i="2" s="1"/>
  <c r="N223" i="2"/>
  <c r="O223" i="2" s="1"/>
  <c r="N207" i="2"/>
  <c r="O207" i="2" s="1"/>
  <c r="N190" i="2"/>
  <c r="O190" i="2" s="1"/>
  <c r="N173" i="2"/>
  <c r="O173" i="2" s="1"/>
  <c r="N157" i="2"/>
  <c r="O157" i="2" s="1"/>
  <c r="N140" i="2"/>
  <c r="O140" i="2" s="1"/>
  <c r="N123" i="2"/>
  <c r="O123" i="2" s="1"/>
  <c r="N106" i="2"/>
  <c r="O106" i="2" s="1"/>
  <c r="N89" i="2"/>
  <c r="O89" i="2" s="1"/>
  <c r="N72" i="2"/>
  <c r="O72" i="2" s="1"/>
  <c r="N56" i="2"/>
  <c r="O5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Asabere, Stephen Boahen</author>
  </authors>
  <commentList>
    <comment ref="E1" authorId="0" shapeId="0" xr:uid="{76209C10-082E-4D4B-BD19-E755B4E25BFE}">
      <text>
        <r>
          <rPr>
            <b/>
            <sz val="13"/>
            <color indexed="81"/>
            <rFont val="Tahoma"/>
            <family val="2"/>
          </rPr>
          <t>Asabere, Stephen Boahen:</t>
        </r>
        <r>
          <rPr>
            <sz val="13"/>
            <color indexed="81"/>
            <rFont val="Tahoma"/>
            <family val="2"/>
          </rPr>
          <t xml:space="preserve">
The blank suggest contamination! So the samples here are removed from further analysis</t>
        </r>
      </text>
    </comment>
    <comment ref="F1" authorId="0" shapeId="0" xr:uid="{05E8FDAB-FA0D-43F1-BDEA-5C734860F8C4}">
      <text>
        <r>
          <rPr>
            <b/>
            <sz val="13"/>
            <color indexed="81"/>
            <rFont val="Tahoma"/>
            <family val="2"/>
          </rPr>
          <t>Asabere, Stephen Boahen:</t>
        </r>
        <r>
          <rPr>
            <sz val="13"/>
            <color indexed="81"/>
            <rFont val="Tahoma"/>
            <family val="2"/>
          </rPr>
          <t xml:space="preserve">
The blank suggest contamination! So the samples here are removed from further analysis</t>
        </r>
      </text>
    </comment>
    <comment ref="K1" authorId="0" shapeId="0" xr:uid="{F5019772-85FD-457E-A6B2-81EC6D62E616}">
      <text>
        <r>
          <rPr>
            <b/>
            <sz val="13"/>
            <color indexed="81"/>
            <rFont val="Tahoma"/>
            <family val="2"/>
          </rPr>
          <t>Asabere, Stephen Boahen:</t>
        </r>
        <r>
          <rPr>
            <sz val="13"/>
            <color indexed="81"/>
            <rFont val="Tahoma"/>
            <family val="2"/>
          </rPr>
          <t xml:space="preserve">
This is used to correct the PPM as the black is high in some situations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Samples for P analysis" description="Connection to the 'Samples for P analysis' query in the workbook." type="5" refreshedVersion="6" background="1" saveData="1">
    <dbPr connection="Provider=Microsoft.Mashup.OleDb.1;Data Source=$Workbook$;Location=Samples for P analysis;Extended Properties=&quot;&quot;" command="SELECT * FROM [Samples for P analysis]"/>
  </connection>
  <connection id="2" xr16:uid="{00000000-0015-0000-FFFF-FFFF01000000}" keepAlive="1" name="Query - Samples for P analysis (2)" description="Connection to the 'Samples for P analysis (2)' query in the workbook." type="5" refreshedVersion="6" background="1">
    <dbPr connection="Provider=Microsoft.Mashup.OleDb.1;Data Source=$Workbook$;Location=Samples for P analysis (2);Extended Properties=&quot;&quot;" command="SELECT * FROM [Samples for P analysis (2)]"/>
  </connection>
</connections>
</file>

<file path=xl/sharedStrings.xml><?xml version="1.0" encoding="utf-8"?>
<sst xmlns="http://schemas.openxmlformats.org/spreadsheetml/2006/main" count="587" uniqueCount="308">
  <si>
    <t>Lab_No</t>
  </si>
  <si>
    <t xml:space="preserve">Weight </t>
  </si>
  <si>
    <t xml:space="preserve">Remarks </t>
  </si>
  <si>
    <t/>
  </si>
  <si>
    <t>[g]</t>
  </si>
  <si>
    <t>[ppm]</t>
  </si>
  <si>
    <t>1</t>
  </si>
  <si>
    <t>1.548</t>
  </si>
  <si>
    <t>4</t>
  </si>
  <si>
    <t>1.291</t>
  </si>
  <si>
    <t>8</t>
  </si>
  <si>
    <t>1.264</t>
  </si>
  <si>
    <t>10</t>
  </si>
  <si>
    <t>14</t>
  </si>
  <si>
    <t>18</t>
  </si>
  <si>
    <t>21</t>
  </si>
  <si>
    <t>0.999</t>
  </si>
  <si>
    <t>22</t>
  </si>
  <si>
    <t>1.012</t>
  </si>
  <si>
    <t>26</t>
  </si>
  <si>
    <t>1.03</t>
  </si>
  <si>
    <t>29</t>
  </si>
  <si>
    <t>1.191</t>
  </si>
  <si>
    <t>32</t>
  </si>
  <si>
    <t>1.08</t>
  </si>
  <si>
    <t>35</t>
  </si>
  <si>
    <t>1.208</t>
  </si>
  <si>
    <t>38</t>
  </si>
  <si>
    <t>1.253</t>
  </si>
  <si>
    <t>41</t>
  </si>
  <si>
    <t>1.286</t>
  </si>
  <si>
    <t>43</t>
  </si>
  <si>
    <t>1.125</t>
  </si>
  <si>
    <t>47</t>
  </si>
  <si>
    <t>1.023</t>
  </si>
  <si>
    <t>49</t>
  </si>
  <si>
    <t>1.111</t>
  </si>
  <si>
    <t>54</t>
  </si>
  <si>
    <t>57</t>
  </si>
  <si>
    <t>1.051</t>
  </si>
  <si>
    <t>60</t>
  </si>
  <si>
    <t>1.179</t>
  </si>
  <si>
    <t>61</t>
  </si>
  <si>
    <t>1.298</t>
  </si>
  <si>
    <t>65</t>
  </si>
  <si>
    <t>1.129</t>
  </si>
  <si>
    <t>HS1</t>
  </si>
  <si>
    <t>1.033</t>
  </si>
  <si>
    <t>HS2</t>
  </si>
  <si>
    <t>1.008</t>
  </si>
  <si>
    <t>BK1</t>
  </si>
  <si>
    <t>66</t>
  </si>
  <si>
    <t>1.17</t>
  </si>
  <si>
    <t>72</t>
  </si>
  <si>
    <t>75</t>
  </si>
  <si>
    <t>1.261</t>
  </si>
  <si>
    <t>76</t>
  </si>
  <si>
    <t>1.073</t>
  </si>
  <si>
    <t>81</t>
  </si>
  <si>
    <t>1.074</t>
  </si>
  <si>
    <t>83</t>
  </si>
  <si>
    <t>85</t>
  </si>
  <si>
    <t>1.028</t>
  </si>
  <si>
    <t>89</t>
  </si>
  <si>
    <t>1.147</t>
  </si>
  <si>
    <t>91</t>
  </si>
  <si>
    <t>1.058</t>
  </si>
  <si>
    <t>95</t>
  </si>
  <si>
    <t>98</t>
  </si>
  <si>
    <t>1.082</t>
  </si>
  <si>
    <t>101</t>
  </si>
  <si>
    <t>1.055</t>
  </si>
  <si>
    <t>105</t>
  </si>
  <si>
    <t>1.167</t>
  </si>
  <si>
    <t>108</t>
  </si>
  <si>
    <t>1.042</t>
  </si>
  <si>
    <t>109</t>
  </si>
  <si>
    <t>1.382</t>
  </si>
  <si>
    <t>114</t>
  </si>
  <si>
    <t>1.228</t>
  </si>
  <si>
    <t>117</t>
  </si>
  <si>
    <t>1.174</t>
  </si>
  <si>
    <t>118</t>
  </si>
  <si>
    <t>1.037</t>
  </si>
  <si>
    <t>122</t>
  </si>
  <si>
    <t>1.039</t>
  </si>
  <si>
    <t>126</t>
  </si>
  <si>
    <t>1.016</t>
  </si>
  <si>
    <t>128</t>
  </si>
  <si>
    <t>1.281</t>
  </si>
  <si>
    <t>132</t>
  </si>
  <si>
    <t>1.106</t>
  </si>
  <si>
    <t>HS3</t>
  </si>
  <si>
    <t>HS4</t>
  </si>
  <si>
    <t>1.052</t>
  </si>
  <si>
    <t>BK2</t>
  </si>
  <si>
    <t>135</t>
  </si>
  <si>
    <t>137</t>
  </si>
  <si>
    <t>141</t>
  </si>
  <si>
    <t>142</t>
  </si>
  <si>
    <t>146</t>
  </si>
  <si>
    <t>149</t>
  </si>
  <si>
    <t>151</t>
  </si>
  <si>
    <t>155</t>
  </si>
  <si>
    <t>159</t>
  </si>
  <si>
    <t>160</t>
  </si>
  <si>
    <t>165</t>
  </si>
  <si>
    <t>167</t>
  </si>
  <si>
    <t>170</t>
  </si>
  <si>
    <t>173</t>
  </si>
  <si>
    <t>177</t>
  </si>
  <si>
    <t>180</t>
  </si>
  <si>
    <t>182</t>
  </si>
  <si>
    <t>184</t>
  </si>
  <si>
    <t>188</t>
  </si>
  <si>
    <t>190</t>
  </si>
  <si>
    <t>194</t>
  </si>
  <si>
    <t>197</t>
  </si>
  <si>
    <t>201</t>
  </si>
  <si>
    <t>204</t>
  </si>
  <si>
    <t>206</t>
  </si>
  <si>
    <t>210</t>
  </si>
  <si>
    <t>213</t>
  </si>
  <si>
    <t>216</t>
  </si>
  <si>
    <t>219</t>
  </si>
  <si>
    <t>221</t>
  </si>
  <si>
    <t>224</t>
  </si>
  <si>
    <t>228</t>
  </si>
  <si>
    <t>232</t>
  </si>
  <si>
    <t>233</t>
  </si>
  <si>
    <t>238</t>
  </si>
  <si>
    <t>241</t>
  </si>
  <si>
    <t>243</t>
  </si>
  <si>
    <t>246</t>
  </si>
  <si>
    <t>250</t>
  </si>
  <si>
    <t>251</t>
  </si>
  <si>
    <t>254</t>
  </si>
  <si>
    <t>259</t>
  </si>
  <si>
    <t>260</t>
  </si>
  <si>
    <t>263</t>
  </si>
  <si>
    <t>266</t>
  </si>
  <si>
    <t>271</t>
  </si>
  <si>
    <t>274</t>
  </si>
  <si>
    <t>277</t>
  </si>
  <si>
    <t>279</t>
  </si>
  <si>
    <t>281</t>
  </si>
  <si>
    <t>285</t>
  </si>
  <si>
    <t>288</t>
  </si>
  <si>
    <t>290</t>
  </si>
  <si>
    <t>294</t>
  </si>
  <si>
    <t>297</t>
  </si>
  <si>
    <t>299</t>
  </si>
  <si>
    <t>301</t>
  </si>
  <si>
    <t>303</t>
  </si>
  <si>
    <t>317</t>
  </si>
  <si>
    <t>308</t>
  </si>
  <si>
    <t>312</t>
  </si>
  <si>
    <t>315</t>
  </si>
  <si>
    <t>321</t>
  </si>
  <si>
    <t>324</t>
  </si>
  <si>
    <t>326</t>
  </si>
  <si>
    <t>330</t>
  </si>
  <si>
    <t>334</t>
  </si>
  <si>
    <t>335</t>
  </si>
  <si>
    <t>338</t>
  </si>
  <si>
    <t>343</t>
  </si>
  <si>
    <t>345</t>
  </si>
  <si>
    <t>348</t>
  </si>
  <si>
    <t>350</t>
  </si>
  <si>
    <t>353</t>
  </si>
  <si>
    <t>356</t>
  </si>
  <si>
    <t>361</t>
  </si>
  <si>
    <t>363</t>
  </si>
  <si>
    <t>365</t>
  </si>
  <si>
    <t>369</t>
  </si>
  <si>
    <t>371</t>
  </si>
  <si>
    <t>374</t>
  </si>
  <si>
    <t>378</t>
  </si>
  <si>
    <t>380</t>
  </si>
  <si>
    <t>383</t>
  </si>
  <si>
    <t>388</t>
  </si>
  <si>
    <t>389</t>
  </si>
  <si>
    <t>393</t>
  </si>
  <si>
    <t>395</t>
  </si>
  <si>
    <t>400</t>
  </si>
  <si>
    <t>401</t>
  </si>
  <si>
    <t>404</t>
  </si>
  <si>
    <t>410</t>
  </si>
  <si>
    <t>413</t>
  </si>
  <si>
    <t>417</t>
  </si>
  <si>
    <t>419</t>
  </si>
  <si>
    <t>422</t>
  </si>
  <si>
    <t>426</t>
  </si>
  <si>
    <t>429</t>
  </si>
  <si>
    <t>432</t>
  </si>
  <si>
    <t>434</t>
  </si>
  <si>
    <t>439</t>
  </si>
  <si>
    <t>442</t>
  </si>
  <si>
    <t>443</t>
  </si>
  <si>
    <t>447</t>
  </si>
  <si>
    <t>449</t>
  </si>
  <si>
    <t>468</t>
  </si>
  <si>
    <t>471</t>
  </si>
  <si>
    <t>473</t>
  </si>
  <si>
    <t>475</t>
  </si>
  <si>
    <t>479</t>
  </si>
  <si>
    <t>483</t>
  </si>
  <si>
    <t>486</t>
  </si>
  <si>
    <t>490</t>
  </si>
  <si>
    <t>493</t>
  </si>
  <si>
    <t>494</t>
  </si>
  <si>
    <t>497</t>
  </si>
  <si>
    <t>500</t>
  </si>
  <si>
    <t>503</t>
  </si>
  <si>
    <t>506</t>
  </si>
  <si>
    <t>509</t>
  </si>
  <si>
    <t>515</t>
  </si>
  <si>
    <t>513</t>
  </si>
  <si>
    <t>518</t>
  </si>
  <si>
    <t>519</t>
  </si>
  <si>
    <t>524</t>
  </si>
  <si>
    <t>527</t>
  </si>
  <si>
    <t>530</t>
  </si>
  <si>
    <t>532</t>
  </si>
  <si>
    <t>536</t>
  </si>
  <si>
    <t>538</t>
  </si>
  <si>
    <t>540</t>
  </si>
  <si>
    <t>545</t>
  </si>
  <si>
    <t>546</t>
  </si>
  <si>
    <t>549</t>
  </si>
  <si>
    <t>552</t>
  </si>
  <si>
    <t>556</t>
  </si>
  <si>
    <t>559</t>
  </si>
  <si>
    <t>561</t>
  </si>
  <si>
    <t>564</t>
  </si>
  <si>
    <t>568</t>
  </si>
  <si>
    <t>572</t>
  </si>
  <si>
    <t>574</t>
  </si>
  <si>
    <t>576</t>
  </si>
  <si>
    <t>579</t>
  </si>
  <si>
    <t>583</t>
  </si>
  <si>
    <t>586</t>
  </si>
  <si>
    <t>589</t>
  </si>
  <si>
    <t>592</t>
  </si>
  <si>
    <t>595</t>
  </si>
  <si>
    <t>599</t>
  </si>
  <si>
    <t>601</t>
  </si>
  <si>
    <t>603</t>
  </si>
  <si>
    <t>606</t>
  </si>
  <si>
    <t>611</t>
  </si>
  <si>
    <t>614</t>
  </si>
  <si>
    <t>617</t>
  </si>
  <si>
    <t>620</t>
  </si>
  <si>
    <t>623</t>
  </si>
  <si>
    <t>626</t>
  </si>
  <si>
    <t>627</t>
  </si>
  <si>
    <t>631</t>
  </si>
  <si>
    <t>633</t>
  </si>
  <si>
    <t>637</t>
  </si>
  <si>
    <t>640</t>
  </si>
  <si>
    <t>643</t>
  </si>
  <si>
    <t>645</t>
  </si>
  <si>
    <t>650</t>
  </si>
  <si>
    <t>P1-avail</t>
  </si>
  <si>
    <t>P2-SOM</t>
  </si>
  <si>
    <t>P3-Ca</t>
  </si>
  <si>
    <t>P4-OCC</t>
  </si>
  <si>
    <t>HS7</t>
  </si>
  <si>
    <t>HS8</t>
  </si>
  <si>
    <t>BK4</t>
  </si>
  <si>
    <t>HS5</t>
  </si>
  <si>
    <t>HS6</t>
  </si>
  <si>
    <t>BK3</t>
  </si>
  <si>
    <t>HS9</t>
  </si>
  <si>
    <t>HS10</t>
  </si>
  <si>
    <t>BK5</t>
  </si>
  <si>
    <t>SA1</t>
  </si>
  <si>
    <t>SA2</t>
  </si>
  <si>
    <t>BK6</t>
  </si>
  <si>
    <t>SA3</t>
  </si>
  <si>
    <t>SA4</t>
  </si>
  <si>
    <t>BK7</t>
  </si>
  <si>
    <t>SA5</t>
  </si>
  <si>
    <t>SA6</t>
  </si>
  <si>
    <t>BK8</t>
  </si>
  <si>
    <t>SA7</t>
  </si>
  <si>
    <t>SA8</t>
  </si>
  <si>
    <t>BK9</t>
  </si>
  <si>
    <t>in 10. group</t>
  </si>
  <si>
    <t>in 11. group</t>
  </si>
  <si>
    <t>SA11</t>
  </si>
  <si>
    <t>SA12</t>
  </si>
  <si>
    <t>BK11</t>
  </si>
  <si>
    <t>SA9</t>
  </si>
  <si>
    <t>SA10</t>
  </si>
  <si>
    <t>BK10</t>
  </si>
  <si>
    <t>SA13</t>
  </si>
  <si>
    <t>SA14</t>
  </si>
  <si>
    <t>HS11</t>
  </si>
  <si>
    <t>HS12</t>
  </si>
  <si>
    <t>BK12</t>
  </si>
  <si>
    <t>P-som ICP</t>
  </si>
  <si>
    <t>Pavail(PS)</t>
  </si>
  <si>
    <t>Pca(PS)</t>
  </si>
  <si>
    <t>[g/kg]</t>
  </si>
  <si>
    <t>SumP</t>
  </si>
  <si>
    <t>[mg/kg]</t>
  </si>
  <si>
    <t>P4_OCC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</si>
</sst>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00000"/>
    <numFmt numFmtId="167" formatCode="0.000_ ;[Red]\-0.000\ 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"/>
      <scheme val="minor"/>
    </font>
    <font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3"/>
      <color indexed="81"/>
      <name val="Tahoma"/>
      <family val="2"/>
    </font>
    <font>
      <b/>
      <sz val="13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 applyBorder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Fill="1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 applyAlignment="1">
      <alignment horizontal="left"/>
    </xf>
    <xf numFmtId="0" fontId="8" fillId="0" borderId="0" xfId="0" applyFont="1" applyBorder="1" applyAlignment="1">
      <alignment horizontal="left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left"/>
    </xf>
    <xf numFmtId="166" fontId="4" fillId="2" borderId="0" xfId="0" applyNumberFormat="1" applyFont="1" applyFill="1" applyAlignment="1">
      <alignment horizontal="left"/>
    </xf>
    <xf numFmtId="0" fontId="0" fillId="2" borderId="0" xfId="0" applyFill="1"/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left"/>
    </xf>
    <xf numFmtId="0" fontId="0" fillId="3" borderId="0" xfId="0" applyFill="1"/>
    <xf numFmtId="164" fontId="4" fillId="3" borderId="0" xfId="0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3" fontId="4" fillId="2" borderId="0" xfId="0" applyNumberFormat="1" applyFont="1" applyFill="1" applyAlignment="1">
      <alignment horizontal="left"/>
    </xf>
    <xf numFmtId="165" fontId="4" fillId="3" borderId="0" xfId="0" applyNumberFormat="1" applyFont="1" applyFill="1" applyAlignment="1">
      <alignment horizontal="left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/>
    <xf numFmtId="164" fontId="4" fillId="4" borderId="0" xfId="0" applyNumberFormat="1" applyFont="1" applyFill="1" applyAlignment="1">
      <alignment horizontal="left"/>
    </xf>
    <xf numFmtId="0" fontId="4" fillId="5" borderId="0" xfId="0" applyFont="1" applyFill="1"/>
    <xf numFmtId="0" fontId="0" fillId="5" borderId="0" xfId="0" applyFill="1"/>
    <xf numFmtId="164" fontId="0" fillId="5" borderId="0" xfId="0" applyNumberFormat="1" applyFill="1"/>
    <xf numFmtId="167" fontId="4" fillId="5" borderId="0" xfId="0" applyNumberFormat="1" applyFont="1" applyFill="1"/>
    <xf numFmtId="167" fontId="0" fillId="5" borderId="0" xfId="0" applyNumberFormat="1" applyFill="1"/>
    <xf numFmtId="0" fontId="3" fillId="0" borderId="0" xfId="0" applyNumberFormat="1" applyFont="1"/>
    <xf numFmtId="167" fontId="3" fillId="5" borderId="0" xfId="0" applyNumberFormat="1" applyFont="1" applyFill="1"/>
    <xf numFmtId="164" fontId="3" fillId="5" borderId="0" xfId="0" applyNumberFormat="1" applyFont="1" applyFill="1"/>
    <xf numFmtId="0" fontId="4" fillId="3" borderId="0" xfId="0" applyFont="1" applyFill="1"/>
    <xf numFmtId="0" fontId="4" fillId="2" borderId="0" xfId="0" applyFont="1" applyFill="1"/>
    <xf numFmtId="0" fontId="4" fillId="4" borderId="0" xfId="0" applyFont="1" applyFill="1"/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center"/>
    </xf>
    <xf numFmtId="166" fontId="10" fillId="0" borderId="0" xfId="0" applyNumberFormat="1" applyFont="1" applyAlignment="1">
      <alignment horizontal="left"/>
    </xf>
    <xf numFmtId="166" fontId="10" fillId="3" borderId="0" xfId="0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8" fillId="0" borderId="0" xfId="0" applyFont="1" applyBorder="1"/>
    <xf numFmtId="0" fontId="4" fillId="0" borderId="0" xfId="0" applyFont="1" applyFill="1"/>
    <xf numFmtId="0" fontId="9" fillId="0" borderId="0" xfId="0" applyFont="1" applyBorder="1"/>
    <xf numFmtId="0" fontId="10" fillId="0" borderId="0" xfId="0" applyFont="1"/>
    <xf numFmtId="0" fontId="10" fillId="3" borderId="0" xfId="0" applyFont="1" applyFill="1"/>
    <xf numFmtId="0" fontId="10" fillId="4" borderId="0" xfId="0" applyFont="1" applyFill="1"/>
    <xf numFmtId="0" fontId="10" fillId="0" borderId="0" xfId="0" applyFont="1" applyFill="1"/>
    <xf numFmtId="0" fontId="9" fillId="0" borderId="0" xfId="0" applyFont="1"/>
    <xf numFmtId="0" fontId="10" fillId="0" borderId="0" xfId="1" applyFont="1" applyFill="1"/>
    <xf numFmtId="0" fontId="10" fillId="4" borderId="0" xfId="1" applyFont="1" applyFill="1"/>
    <xf numFmtId="0" fontId="10" fillId="3" borderId="0" xfId="1" applyFont="1" applyFill="1"/>
    <xf numFmtId="0" fontId="4" fillId="2" borderId="0" xfId="0" applyFont="1" applyFill="1" applyAlignment="1">
      <alignment horizontal="center"/>
    </xf>
    <xf numFmtId="0" fontId="4" fillId="2" borderId="0" xfId="1" applyFont="1" applyFill="1"/>
    <xf numFmtId="0" fontId="11" fillId="0" borderId="0" xfId="0" applyFont="1"/>
    <xf numFmtId="0" fontId="12" fillId="0" borderId="0" xfId="0" applyFont="1" applyBorder="1"/>
    <xf numFmtId="0" fontId="12" fillId="0" borderId="1" xfId="0" applyFont="1" applyBorder="1" applyAlignment="1">
      <alignment horizontal="center"/>
    </xf>
    <xf numFmtId="0" fontId="7" fillId="0" borderId="0" xfId="0" applyFont="1"/>
    <xf numFmtId="0" fontId="7" fillId="3" borderId="0" xfId="0" applyFont="1" applyFill="1"/>
    <xf numFmtId="0" fontId="7" fillId="4" borderId="0" xfId="0" applyFont="1" applyFill="1"/>
    <xf numFmtId="0" fontId="7" fillId="2" borderId="0" xfId="0" applyFont="1" applyFill="1"/>
    <xf numFmtId="165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5" fontId="3" fillId="0" borderId="0" xfId="0" applyNumberFormat="1" applyFont="1" applyFill="1" applyAlignment="1">
      <alignment horizontal="left"/>
    </xf>
    <xf numFmtId="0" fontId="3" fillId="0" borderId="0" xfId="0" applyFont="1" applyFill="1"/>
    <xf numFmtId="164" fontId="3" fillId="0" borderId="0" xfId="0" applyNumberFormat="1" applyFont="1" applyAlignment="1">
      <alignment horizontal="left"/>
    </xf>
    <xf numFmtId="164" fontId="11" fillId="0" borderId="0" xfId="0" applyNumberFormat="1" applyFont="1"/>
    <xf numFmtId="164" fontId="3" fillId="0" borderId="0" xfId="0" applyNumberFormat="1" applyFont="1"/>
    <xf numFmtId="164" fontId="4" fillId="3" borderId="0" xfId="0" applyNumberFormat="1" applyFont="1" applyFill="1"/>
    <xf numFmtId="164" fontId="4" fillId="2" borderId="0" xfId="0" applyNumberFormat="1" applyFont="1" applyFill="1"/>
    <xf numFmtId="164" fontId="3" fillId="0" borderId="0" xfId="0" applyNumberFormat="1" applyFont="1" applyFill="1"/>
    <xf numFmtId="164" fontId="4" fillId="4" borderId="0" xfId="0" applyNumberFormat="1" applyFont="1" applyFill="1"/>
    <xf numFmtId="164" fontId="4" fillId="0" borderId="0" xfId="0" applyNumberFormat="1" applyFont="1"/>
    <xf numFmtId="164" fontId="0" fillId="0" borderId="0" xfId="0" applyNumberFormat="1"/>
    <xf numFmtId="0" fontId="3" fillId="3" borderId="0" xfId="0" applyFont="1" applyFill="1"/>
  </cellXfs>
  <cellStyles count="5">
    <cellStyle name="Normal" xfId="0" builtinId="0"/>
    <cellStyle name="Normal 2" xfId="3" xr:uid="{00000000-0005-0000-0000-000001000000}"/>
    <cellStyle name="Percent 2" xfId="4" xr:uid="{00000000-0005-0000-0000-000002000000}"/>
    <cellStyle name="常规 2" xfId="1" xr:uid="{00000000-0005-0000-0000-000003000000}"/>
    <cellStyle name="百分比 2" xfId="2" xr:uid="{00000000-0005-0000-0000-000004000000}"/>
  </cellStyles>
  <dxfs count="11"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 tint="-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 tint="-0.249977111117893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 tint="-0.249977111117893"/>
        <name val="Calibri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00000000-0016-0000-0000-000000000000}" autoFormatId="16" applyNumberFormats="0" applyBorderFormats="0" applyFontFormats="0" applyPatternFormats="0" applyAlignmentFormats="0" applyWidthHeightFormats="0">
  <queryTableRefresh headersInLastRefresh="0" nextId="18" unboundColumnsRight="2">
    <queryTableFields count="15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11" dataBound="0" tableColumnId="9"/>
      <queryTableField id="17" dataBound="0" tableColumnId="16"/>
      <queryTableField id="4" name="Column4" tableColumnId="4"/>
      <queryTableField id="10" dataBound="0" tableColumnId="10"/>
      <queryTableField id="7" dataBound="0" tableColumnId="7"/>
      <queryTableField id="5" name="Column5" tableColumnId="5"/>
      <queryTableField id="16" dataBound="0" tableColumnId="15"/>
      <queryTableField id="13" dataBound="0" tableColumnId="11"/>
      <queryTableField id="6" name="Column6" tableColumnId="6"/>
      <queryTableField id="14" dataBound="0" tableColumnId="12"/>
      <queryTableField id="15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mples_for_P_analysis" displayName="Samples_for_P_analysis" ref="A1:O287" tableType="queryTable" headerRowCount="0" totalsRowShown="0">
  <tableColumns count="15">
    <tableColumn id="1" xr3:uid="{00000000-0010-0000-0000-000001000000}" uniqueName="1" name="Column1" queryTableFieldId="1" dataDxfId="10"/>
    <tableColumn id="2" xr3:uid="{00000000-0010-0000-0000-000002000000}" uniqueName="2" name="Column2" queryTableFieldId="2" headerRowDxfId="9" dataDxfId="8"/>
    <tableColumn id="3" xr3:uid="{00000000-0010-0000-0000-000003000000}" uniqueName="3" name="Column3" queryTableFieldId="3" headerRowDxfId="7" dataDxfId="6"/>
    <tableColumn id="8" xr3:uid="{00000000-0010-0000-0000-000008000000}" uniqueName="8" name="Column32" queryTableFieldId="8" dataDxfId="5"/>
    <tableColumn id="9" xr3:uid="{00000000-0010-0000-0000-000009000000}" uniqueName="9" name="Column7" queryTableFieldId="11" dataDxfId="4"/>
    <tableColumn id="16" xr3:uid="{A891249B-80F2-4E3D-A7CE-0DA0140F237D}" uniqueName="16" name="Column12" queryTableFieldId="17"/>
    <tableColumn id="4" xr3:uid="{00000000-0010-0000-0000-000004000000}" uniqueName="4" name="Column4" queryTableFieldId="4"/>
    <tableColumn id="10" xr3:uid="{00000000-0010-0000-0000-00000A000000}" uniqueName="10" name="Column43" queryTableFieldId="10" dataDxfId="3"/>
    <tableColumn id="7" xr3:uid="{00000000-0010-0000-0000-000007000000}" uniqueName="7" name="Column42" queryTableFieldId="7" dataDxfId="2"/>
    <tableColumn id="5" xr3:uid="{00000000-0010-0000-0000-000005000000}" uniqueName="5" name="Column5" queryTableFieldId="5" dataDxfId="1"/>
    <tableColumn id="15" xr3:uid="{CB8E4FD3-2926-4022-8F53-E754D6926910}" uniqueName="15" name="Column11" queryTableFieldId="16"/>
    <tableColumn id="11" xr3:uid="{00000000-0010-0000-0000-00000B000000}" uniqueName="11" name="Column8" queryTableFieldId="13"/>
    <tableColumn id="6" xr3:uid="{00000000-0010-0000-0000-000006000000}" uniqueName="6" name="Column6" queryTableFieldId="6"/>
    <tableColumn id="12" xr3:uid="{78C390C5-AC2C-4334-AE96-5495D801D7A7}" uniqueName="12" name="Column9" queryTableFieldId="14"/>
    <tableColumn id="13" xr3:uid="{91C73ADB-EEB3-4F90-AD1E-5F25C958232A}" uniqueName="13" name="Column10" queryTableField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0"/>
  <sheetViews>
    <sheetView tabSelected="1" zoomScale="130" zoomScaleNormal="130" zoomScalePageLayoutView="130" workbookViewId="0">
      <pane xSplit="1" ySplit="2" topLeftCell="B207" activePane="bottomRight" state="frozen"/>
      <selection pane="topRight" activeCell="B1" sqref="B1"/>
      <selection pane="bottomLeft" activeCell="A3" sqref="A3"/>
      <selection pane="bottomRight" activeCell="J287" sqref="J287"/>
    </sheetView>
  </sheetViews>
  <sheetFormatPr defaultColWidth="9.140625" defaultRowHeight="15"/>
  <cols>
    <col min="1" max="1" width="11.140625" bestFit="1" customWidth="1"/>
    <col min="2" max="2" width="11.140625" style="8" bestFit="1" customWidth="1"/>
    <col min="3" max="3" width="11.140625" style="51" bestFit="1" customWidth="1"/>
    <col min="4" max="4" width="11.140625" style="6" customWidth="1"/>
    <col min="5" max="6" width="11.140625" style="58" customWidth="1"/>
    <col min="7" max="7" width="11.140625" bestFit="1" customWidth="1"/>
    <col min="8" max="8" width="11.140625" style="58" customWidth="1"/>
    <col min="9" max="9" width="11.140625" style="6" customWidth="1"/>
    <col min="10" max="10" width="11.140625" style="71" bestFit="1" customWidth="1"/>
    <col min="11" max="11" width="11.140625" style="71" customWidth="1"/>
    <col min="12" max="12" width="11.140625" customWidth="1"/>
    <col min="13" max="13" width="11.140625" bestFit="1" customWidth="1"/>
  </cols>
  <sheetData>
    <row r="1" spans="1:15">
      <c r="A1" s="15" t="s">
        <v>0</v>
      </c>
      <c r="B1" s="12" t="s">
        <v>1</v>
      </c>
      <c r="C1" s="47" t="s">
        <v>302</v>
      </c>
      <c r="D1" s="55" t="s">
        <v>263</v>
      </c>
      <c r="E1" s="57" t="s">
        <v>301</v>
      </c>
      <c r="F1" s="57" t="s">
        <v>301</v>
      </c>
      <c r="G1" s="1" t="s">
        <v>264</v>
      </c>
      <c r="H1" s="62" t="s">
        <v>303</v>
      </c>
      <c r="I1" s="55" t="s">
        <v>265</v>
      </c>
      <c r="J1" s="69" t="s">
        <v>266</v>
      </c>
      <c r="K1" s="69" t="s">
        <v>307</v>
      </c>
      <c r="L1" s="1" t="s">
        <v>266</v>
      </c>
      <c r="M1" s="1" t="s">
        <v>2</v>
      </c>
      <c r="N1" t="s">
        <v>305</v>
      </c>
      <c r="O1" t="s">
        <v>305</v>
      </c>
    </row>
    <row r="2" spans="1:15">
      <c r="A2" s="16" t="s">
        <v>3</v>
      </c>
      <c r="B2" s="46" t="s">
        <v>4</v>
      </c>
      <c r="C2" s="48" t="s">
        <v>5</v>
      </c>
      <c r="D2" s="46" t="s">
        <v>304</v>
      </c>
      <c r="E2" s="48" t="s">
        <v>5</v>
      </c>
      <c r="F2" s="48" t="s">
        <v>5</v>
      </c>
      <c r="G2" s="16" t="s">
        <v>304</v>
      </c>
      <c r="H2" s="48" t="s">
        <v>5</v>
      </c>
      <c r="I2" s="46" t="s">
        <v>304</v>
      </c>
      <c r="J2" s="70" t="s">
        <v>5</v>
      </c>
      <c r="K2" s="70" t="s">
        <v>5</v>
      </c>
      <c r="L2" s="16" t="s">
        <v>304</v>
      </c>
      <c r="M2" s="16" t="s">
        <v>3</v>
      </c>
      <c r="N2" s="16" t="s">
        <v>304</v>
      </c>
      <c r="O2" s="16" t="s">
        <v>306</v>
      </c>
    </row>
    <row r="3" spans="1:15">
      <c r="A3" s="5" t="s">
        <v>6</v>
      </c>
      <c r="B3" s="10" t="s">
        <v>7</v>
      </c>
      <c r="C3" s="49">
        <v>0.16786330000000002</v>
      </c>
      <c r="D3" s="68">
        <f>(Samples_for_P_analysis[[#This Row],[Column3]]*50/1000)/Samples_for_P_analysis[[#This Row],[Column2]]</f>
        <v>5.4219412144702848E-3</v>
      </c>
      <c r="E3" s="3">
        <v>1.7164190474533201</v>
      </c>
      <c r="F3" s="3"/>
      <c r="G3" s="68"/>
      <c r="H3" s="58">
        <v>0.60571350000000002</v>
      </c>
      <c r="I3" s="81">
        <f>(Samples_for_P_analysis[[#This Row],[Column43]]*50/1000)/Samples_for_P_analysis[[#This Row],[Column2]]</f>
        <v>1.9564389534883722E-2</v>
      </c>
      <c r="J3" s="71">
        <v>2.6516394804981469</v>
      </c>
      <c r="L3">
        <f>(Samples_for_P_analysis[[#This Row],[Column5]]*45/1000)/Samples_for_P_analysis[[#This Row],[Column2]]</f>
        <v>7.7082543037736831E-2</v>
      </c>
      <c r="M3" t="s">
        <v>3</v>
      </c>
      <c r="N3" s="88">
        <f>Samples_for_P_analysis[[#This Row],[Column32]]+Samples_for_P_analysis[[#This Row],[Column8]]+Samples_for_P_analysis[[#This Row],[Column42]]</f>
        <v>0.10206887378709084</v>
      </c>
      <c r="O3">
        <f>Samples_for_P_analysis[[#This Row],[Column9]]*1000</f>
        <v>102.06887378709084</v>
      </c>
    </row>
    <row r="4" spans="1:15">
      <c r="A4" s="5" t="s">
        <v>8</v>
      </c>
      <c r="B4" s="10" t="s">
        <v>9</v>
      </c>
      <c r="C4" s="49">
        <v>0.1359554</v>
      </c>
      <c r="D4" s="68">
        <f>(Samples_for_P_analysis[[#This Row],[Column3]]*50/1000)/Samples_for_P_analysis[[#This Row],[Column2]]</f>
        <v>5.2655073586367158E-3</v>
      </c>
      <c r="E4" s="3">
        <v>3.1526581731692098</v>
      </c>
      <c r="F4" s="3"/>
      <c r="G4" s="68"/>
      <c r="H4" s="58">
        <v>0.18267550000000002</v>
      </c>
      <c r="I4" s="81">
        <f>(Samples_for_P_analysis[[#This Row],[Column43]]*50/1000)/Samples_for_P_analysis[[#This Row],[Column2]]</f>
        <v>7.0749612703330774E-3</v>
      </c>
      <c r="J4" s="71">
        <v>2.1252495655298316</v>
      </c>
      <c r="L4">
        <f>(Samples_for_P_analysis[[#This Row],[Column5]]*45/1000)/Samples_for_P_analysis[[#This Row],[Column2]]</f>
        <v>7.4079187024664928E-2</v>
      </c>
      <c r="M4" t="s">
        <v>3</v>
      </c>
      <c r="N4" s="88">
        <f>Samples_for_P_analysis[[#This Row],[Column32]]+Samples_for_P_analysis[[#This Row],[Column8]]+Samples_for_P_analysis[[#This Row],[Column42]]</f>
        <v>8.6419655653634728E-2</v>
      </c>
      <c r="O4">
        <f>Samples_for_P_analysis[[#This Row],[Column9]]*1000</f>
        <v>86.419655653634734</v>
      </c>
    </row>
    <row r="5" spans="1:15">
      <c r="A5" s="5" t="s">
        <v>10</v>
      </c>
      <c r="B5" s="10" t="s">
        <v>11</v>
      </c>
      <c r="C5" s="49">
        <v>0.25110130000000003</v>
      </c>
      <c r="D5" s="68">
        <f>(Samples_for_P_analysis[[#This Row],[Column3]]*50/1000)/Samples_for_P_analysis[[#This Row],[Column2]]</f>
        <v>9.9328045886075949E-3</v>
      </c>
      <c r="E5" s="3">
        <v>2.6357788559776298</v>
      </c>
      <c r="F5" s="3"/>
      <c r="G5" s="68"/>
      <c r="H5" s="58">
        <v>0.46561650000000004</v>
      </c>
      <c r="I5" s="81">
        <f>(Samples_for_P_analysis[[#This Row],[Column43]]*50/1000)/Samples_for_P_analysis[[#This Row],[Column2]]</f>
        <v>1.8418374208860763E-2</v>
      </c>
      <c r="J5" s="71">
        <v>3.181410758381602</v>
      </c>
      <c r="L5">
        <f>(Samples_for_P_analysis[[#This Row],[Column5]]*45/1000)/Samples_for_P_analysis[[#This Row],[Column2]]</f>
        <v>0.11326225010061082</v>
      </c>
      <c r="M5" t="s">
        <v>3</v>
      </c>
      <c r="N5" s="88">
        <f>Samples_for_P_analysis[[#This Row],[Column32]]+Samples_for_P_analysis[[#This Row],[Column8]]+Samples_for_P_analysis[[#This Row],[Column42]]</f>
        <v>0.14161342889807918</v>
      </c>
      <c r="O5">
        <f>Samples_for_P_analysis[[#This Row],[Column9]]*1000</f>
        <v>141.61342889807918</v>
      </c>
    </row>
    <row r="6" spans="1:15" s="3" customFormat="1">
      <c r="A6" s="17" t="s">
        <v>12</v>
      </c>
      <c r="B6" s="76">
        <v>1.0780000000000001</v>
      </c>
      <c r="C6" s="77">
        <v>0.1650887</v>
      </c>
      <c r="D6" s="3">
        <f>(Samples_for_P_analysis[[#This Row],[Column3]]*50/1000)/Samples_for_P_analysis[[#This Row],[Column2]]</f>
        <v>7.6571753246753253E-3</v>
      </c>
      <c r="E6" s="3">
        <v>0.14970804242497801</v>
      </c>
      <c r="H6" s="3">
        <v>0.826847</v>
      </c>
      <c r="I6" s="82">
        <f>(Samples_for_P_analysis[[#This Row],[Column43]]*50/1000)/Samples_for_P_analysis[[#This Row],[Column2]]</f>
        <v>3.8350974025974024E-2</v>
      </c>
      <c r="J6" s="3">
        <v>5.1727023984444118</v>
      </c>
      <c r="L6">
        <f>(Samples_for_P_analysis[[#This Row],[Column5]]*45/1000)/Samples_for_P_analysis[[#This Row],[Column2]]</f>
        <v>0.21592913537105615</v>
      </c>
      <c r="M6" s="3" t="s">
        <v>288</v>
      </c>
      <c r="N6" s="88">
        <f>Samples_for_P_analysis[[#This Row],[Column32]]+Samples_for_P_analysis[[#This Row],[Column8]]+Samples_for_P_analysis[[#This Row],[Column42]]</f>
        <v>0.26193728472170552</v>
      </c>
      <c r="O6">
        <f>Samples_for_P_analysis[[#This Row],[Column9]]*1000</f>
        <v>261.93728472170551</v>
      </c>
    </row>
    <row r="7" spans="1:15" s="3" customFormat="1">
      <c r="A7" s="17" t="s">
        <v>13</v>
      </c>
      <c r="B7" s="76">
        <v>1.0640000000000001</v>
      </c>
      <c r="C7" s="77">
        <v>8.7399900000000003E-2</v>
      </c>
      <c r="D7" s="3">
        <f>(Samples_for_P_analysis[[#This Row],[Column3]]*50/1000)/Samples_for_P_analysis[[#This Row],[Column2]]</f>
        <v>4.107138157894737E-3</v>
      </c>
      <c r="E7" s="3">
        <v>0.123377896538595</v>
      </c>
      <c r="I7" s="82"/>
      <c r="L7"/>
      <c r="M7" s="3" t="s">
        <v>3</v>
      </c>
      <c r="N7" s="88">
        <f>Samples_for_P_analysis[[#This Row],[Column32]]+Samples_for_P_analysis[[#This Row],[Column8]]+Samples_for_P_analysis[[#This Row],[Column42]]</f>
        <v>4.107138157894737E-3</v>
      </c>
      <c r="O7">
        <f>Samples_for_P_analysis[[#This Row],[Column9]]*1000</f>
        <v>4.1071381578947372</v>
      </c>
    </row>
    <row r="8" spans="1:15" s="3" customFormat="1">
      <c r="A8" s="17" t="s">
        <v>14</v>
      </c>
      <c r="B8" s="76">
        <v>1.242</v>
      </c>
      <c r="C8" s="77">
        <v>0.1234697</v>
      </c>
      <c r="D8" s="3">
        <f>(Samples_for_P_analysis[[#This Row],[Column3]]*50/1000)/Samples_for_P_analysis[[#This Row],[Column2]]</f>
        <v>4.9705998389694044E-3</v>
      </c>
      <c r="E8" s="3">
        <v>8.0282208908272798E-2</v>
      </c>
      <c r="I8" s="82"/>
      <c r="L8"/>
      <c r="M8" s="3" t="s">
        <v>3</v>
      </c>
      <c r="N8" s="88">
        <f>Samples_for_P_analysis[[#This Row],[Column32]]+Samples_for_P_analysis[[#This Row],[Column8]]+Samples_for_P_analysis[[#This Row],[Column42]]</f>
        <v>4.9705998389694044E-3</v>
      </c>
      <c r="O8">
        <f>Samples_for_P_analysis[[#This Row],[Column9]]*1000</f>
        <v>4.9705998389694042</v>
      </c>
    </row>
    <row r="9" spans="1:15">
      <c r="A9" s="5" t="s">
        <v>15</v>
      </c>
      <c r="B9" s="10" t="s">
        <v>16</v>
      </c>
      <c r="C9" s="49">
        <v>8.046339999999999E-2</v>
      </c>
      <c r="D9" s="68">
        <f>(Samples_for_P_analysis[[#This Row],[Column3]]*50/1000)/Samples_for_P_analysis[[#This Row],[Column2]]</f>
        <v>4.0271971971971967E-3</v>
      </c>
      <c r="E9" s="3">
        <v>4.6387243430369498</v>
      </c>
      <c r="F9" s="3"/>
      <c r="G9" s="68"/>
      <c r="H9" s="58">
        <v>0.33650749999999996</v>
      </c>
      <c r="I9" s="81">
        <f>(Samples_for_P_analysis[[#This Row],[Column43]]*50/1000)/Samples_for_P_analysis[[#This Row],[Column2]]</f>
        <v>1.6842217217217213E-2</v>
      </c>
      <c r="J9" s="71">
        <v>1.5521416730847932</v>
      </c>
      <c r="L9">
        <f>(Samples_for_P_analysis[[#This Row],[Column5]]*45/1000)/Samples_for_P_analysis[[#This Row],[Column2]]</f>
        <v>6.9916291580396098E-2</v>
      </c>
      <c r="M9" t="s">
        <v>3</v>
      </c>
      <c r="N9" s="88">
        <f>Samples_for_P_analysis[[#This Row],[Column32]]+Samples_for_P_analysis[[#This Row],[Column8]]+Samples_for_P_analysis[[#This Row],[Column42]]</f>
        <v>9.0785705994810506E-2</v>
      </c>
      <c r="O9">
        <f>Samples_for_P_analysis[[#This Row],[Column9]]*1000</f>
        <v>90.785705994810513</v>
      </c>
    </row>
    <row r="10" spans="1:15">
      <c r="A10" s="5" t="s">
        <v>17</v>
      </c>
      <c r="B10" s="10" t="s">
        <v>18</v>
      </c>
      <c r="C10" s="49">
        <v>9.8498299999999997E-2</v>
      </c>
      <c r="D10" s="68">
        <f>(Samples_for_P_analysis[[#This Row],[Column3]]*50/1000)/Samples_for_P_analysis[[#This Row],[Column2]]</f>
        <v>4.866516798418972E-3</v>
      </c>
      <c r="E10" s="3">
        <v>3.0697347262211698</v>
      </c>
      <c r="F10" s="3"/>
      <c r="G10" s="68"/>
      <c r="H10" s="58">
        <v>0.38595349999999995</v>
      </c>
      <c r="I10" s="81">
        <f>(Samples_for_P_analysis[[#This Row],[Column43]]*50/1000)/Samples_for_P_analysis[[#This Row],[Column2]]</f>
        <v>1.9068848814229246E-2</v>
      </c>
      <c r="J10" s="71">
        <v>2.408450537803875</v>
      </c>
      <c r="L10">
        <f>(Samples_for_P_analysis[[#This Row],[Column5]]*45/1000)/Samples_for_P_analysis[[#This Row],[Column2]]</f>
        <v>0.10709513260985609</v>
      </c>
      <c r="M10" t="s">
        <v>3</v>
      </c>
      <c r="N10" s="88">
        <f>Samples_for_P_analysis[[#This Row],[Column32]]+Samples_for_P_analysis[[#This Row],[Column8]]+Samples_for_P_analysis[[#This Row],[Column42]]</f>
        <v>0.13103049822250432</v>
      </c>
      <c r="O10">
        <f>Samples_for_P_analysis[[#This Row],[Column9]]*1000</f>
        <v>131.03049822250432</v>
      </c>
    </row>
    <row r="11" spans="1:15">
      <c r="A11" s="5" t="s">
        <v>19</v>
      </c>
      <c r="B11" s="10" t="s">
        <v>20</v>
      </c>
      <c r="C11" s="49">
        <v>0.32601550000000001</v>
      </c>
      <c r="D11" s="68">
        <f>(Samples_for_P_analysis[[#This Row],[Column3]]*50/1000)/Samples_for_P_analysis[[#This Row],[Column2]]</f>
        <v>1.5825995145631069E-2</v>
      </c>
      <c r="E11" s="3">
        <v>3.45342689274226</v>
      </c>
      <c r="F11" s="3"/>
      <c r="G11" s="68"/>
      <c r="H11" s="58">
        <v>1.3774759999999995</v>
      </c>
      <c r="I11" s="81">
        <f>(Samples_for_P_analysis[[#This Row],[Column43]]*50/1000)/Samples_for_P_analysis[[#This Row],[Column2]]</f>
        <v>6.6867766990291233E-2</v>
      </c>
      <c r="J11" s="71">
        <v>1.8340331899893216</v>
      </c>
      <c r="L11">
        <f>(Samples_for_P_analysis[[#This Row],[Column5]]*45/1000)/Samples_for_P_analysis[[#This Row],[Column2]]</f>
        <v>8.0127663640310168E-2</v>
      </c>
      <c r="M11" t="s">
        <v>3</v>
      </c>
      <c r="N11" s="88">
        <f>Samples_for_P_analysis[[#This Row],[Column32]]+Samples_for_P_analysis[[#This Row],[Column8]]+Samples_for_P_analysis[[#This Row],[Column42]]</f>
        <v>0.16282142577623249</v>
      </c>
      <c r="O11">
        <f>Samples_for_P_analysis[[#This Row],[Column9]]*1000</f>
        <v>162.82142577623247</v>
      </c>
    </row>
    <row r="12" spans="1:15">
      <c r="A12" s="5" t="s">
        <v>21</v>
      </c>
      <c r="B12" s="10" t="s">
        <v>22</v>
      </c>
      <c r="C12" s="49">
        <v>0.13179350000000001</v>
      </c>
      <c r="D12" s="68">
        <f>(Samples_for_P_analysis[[#This Row],[Column3]]*50/1000)/Samples_for_P_analysis[[#This Row],[Column2]]</f>
        <v>5.5328925272879938E-3</v>
      </c>
      <c r="E12" s="3">
        <v>2.4277374879582401</v>
      </c>
      <c r="F12" s="3"/>
      <c r="G12" s="68"/>
      <c r="H12" s="58">
        <v>0.20327799999999999</v>
      </c>
      <c r="I12" s="81">
        <f>(Samples_for_P_analysis[[#This Row],[Column43]]*50/1000)/Samples_for_P_analysis[[#This Row],[Column2]]</f>
        <v>8.5339210747271202E-3</v>
      </c>
      <c r="J12" s="71">
        <v>3.5151854833581897</v>
      </c>
      <c r="L12">
        <f>(Samples_for_P_analysis[[#This Row],[Column5]]*45/1000)/Samples_for_P_analysis[[#This Row],[Column2]]</f>
        <v>0.13281557241907516</v>
      </c>
      <c r="M12" t="s">
        <v>3</v>
      </c>
      <c r="N12" s="88">
        <f>Samples_for_P_analysis[[#This Row],[Column32]]+Samples_for_P_analysis[[#This Row],[Column8]]+Samples_for_P_analysis[[#This Row],[Column42]]</f>
        <v>0.14688238602109027</v>
      </c>
      <c r="O12">
        <f>Samples_for_P_analysis[[#This Row],[Column9]]*1000</f>
        <v>146.88238602109027</v>
      </c>
    </row>
    <row r="13" spans="1:15">
      <c r="A13" s="5" t="s">
        <v>23</v>
      </c>
      <c r="B13" s="10" t="s">
        <v>24</v>
      </c>
      <c r="C13" s="49">
        <v>0.16092680000000001</v>
      </c>
      <c r="D13" s="68">
        <f>(Samples_for_P_analysis[[#This Row],[Column3]]*50/1000)/Samples_for_P_analysis[[#This Row],[Column2]]</f>
        <v>7.450314814814815E-3</v>
      </c>
      <c r="E13" s="3">
        <v>2.25258914704462</v>
      </c>
      <c r="F13" s="3"/>
      <c r="G13" s="68"/>
      <c r="H13" s="58">
        <v>0.18954299999999999</v>
      </c>
      <c r="I13" s="81">
        <f>(Samples_for_P_analysis[[#This Row],[Column43]]*50/1000)/Samples_for_P_analysis[[#This Row],[Column2]]</f>
        <v>8.7751388888888879E-3</v>
      </c>
      <c r="J13" s="71">
        <v>2.9688818460691415</v>
      </c>
      <c r="L13">
        <f>(Samples_for_P_analysis[[#This Row],[Column5]]*45/1000)/Samples_for_P_analysis[[#This Row],[Column2]]</f>
        <v>0.1237034102528809</v>
      </c>
      <c r="M13" t="s">
        <v>3</v>
      </c>
      <c r="N13" s="88">
        <f>Samples_for_P_analysis[[#This Row],[Column32]]+Samples_for_P_analysis[[#This Row],[Column8]]+Samples_for_P_analysis[[#This Row],[Column42]]</f>
        <v>0.1399288639565846</v>
      </c>
      <c r="O13">
        <f>Samples_for_P_analysis[[#This Row],[Column9]]*1000</f>
        <v>139.92886395658459</v>
      </c>
    </row>
    <row r="14" spans="1:15">
      <c r="A14" s="5" t="s">
        <v>25</v>
      </c>
      <c r="B14" s="10" t="s">
        <v>26</v>
      </c>
      <c r="C14" s="49">
        <v>0.15121570000000001</v>
      </c>
      <c r="D14" s="68">
        <f>(Samples_for_P_analysis[[#This Row],[Column3]]*50/1000)/Samples_for_P_analysis[[#This Row],[Column2]]</f>
        <v>6.258927980132451E-3</v>
      </c>
      <c r="E14" s="3">
        <v>2.9551564512237198</v>
      </c>
      <c r="F14" s="3"/>
      <c r="G14" s="68"/>
      <c r="H14" s="58">
        <v>0.21701300000000001</v>
      </c>
      <c r="I14" s="81">
        <f>(Samples_for_P_analysis[[#This Row],[Column43]]*50/1000)/Samples_for_P_analysis[[#This Row],[Column2]]</f>
        <v>8.9823261589403978E-3</v>
      </c>
      <c r="J14" s="71">
        <v>2.363709280347825</v>
      </c>
      <c r="L14">
        <f>(Samples_for_P_analysis[[#This Row],[Column5]]*45/1000)/Samples_for_P_analysis[[#This Row],[Column2]]</f>
        <v>8.8052084118917337E-2</v>
      </c>
      <c r="M14" t="s">
        <v>3</v>
      </c>
      <c r="N14" s="88">
        <f>Samples_for_P_analysis[[#This Row],[Column32]]+Samples_for_P_analysis[[#This Row],[Column8]]+Samples_for_P_analysis[[#This Row],[Column42]]</f>
        <v>0.10329333825799018</v>
      </c>
      <c r="O14">
        <f>Samples_for_P_analysis[[#This Row],[Column9]]*1000</f>
        <v>103.29333825799019</v>
      </c>
    </row>
    <row r="15" spans="1:15">
      <c r="A15" s="5" t="s">
        <v>27</v>
      </c>
      <c r="B15" s="10" t="s">
        <v>28</v>
      </c>
      <c r="C15" s="49">
        <v>0.20948230000000001</v>
      </c>
      <c r="D15" s="68">
        <f>(Samples_for_P_analysis[[#This Row],[Column3]]*50/1000)/Samples_for_P_analysis[[#This Row],[Column2]]</f>
        <v>8.3592298483639287E-3</v>
      </c>
      <c r="E15" s="3">
        <v>3.6440198228515599</v>
      </c>
      <c r="F15" s="3"/>
      <c r="G15" s="68"/>
      <c r="H15" s="58">
        <v>0.16894049999999999</v>
      </c>
      <c r="I15" s="81">
        <f>(Samples_for_P_analysis[[#This Row],[Column43]]*50/1000)/Samples_for_P_analysis[[#This Row],[Column2]]</f>
        <v>6.7414405426975271E-3</v>
      </c>
      <c r="J15" s="71">
        <v>2.3665876389479732</v>
      </c>
      <c r="L15">
        <f>(Samples_for_P_analysis[[#This Row],[Column5]]*45/1000)/Samples_for_P_analysis[[#This Row],[Column2]]</f>
        <v>8.4993171390789143E-2</v>
      </c>
      <c r="M15" t="s">
        <v>3</v>
      </c>
      <c r="N15" s="88">
        <f>Samples_for_P_analysis[[#This Row],[Column32]]+Samples_for_P_analysis[[#This Row],[Column8]]+Samples_for_P_analysis[[#This Row],[Column42]]</f>
        <v>0.1000938417818506</v>
      </c>
      <c r="O15">
        <f>Samples_for_P_analysis[[#This Row],[Column9]]*1000</f>
        <v>100.0938417818506</v>
      </c>
    </row>
    <row r="16" spans="1:15">
      <c r="A16" s="5" t="s">
        <v>29</v>
      </c>
      <c r="B16" s="10" t="s">
        <v>30</v>
      </c>
      <c r="C16" s="49">
        <v>0.78104989999999996</v>
      </c>
      <c r="D16" s="68">
        <f>(Samples_for_P_analysis[[#This Row],[Column3]]*50/1000)/Samples_for_P_analysis[[#This Row],[Column2]]</f>
        <v>3.0367414463452563E-2</v>
      </c>
      <c r="E16" s="3">
        <v>3.8866530031554798</v>
      </c>
      <c r="F16" s="3"/>
      <c r="G16" s="68"/>
      <c r="H16" s="58">
        <v>0.22800100000000001</v>
      </c>
      <c r="I16" s="81">
        <f>(Samples_for_P_analysis[[#This Row],[Column43]]*50/1000)/Samples_for_P_analysis[[#This Row],[Column2]]</f>
        <v>8.8647356143079312E-3</v>
      </c>
      <c r="J16" s="71">
        <v>2.9579737246713766</v>
      </c>
      <c r="L16">
        <f>(Samples_for_P_analysis[[#This Row],[Column5]]*45/1000)/Samples_for_P_analysis[[#This Row],[Column2]]</f>
        <v>0.1035060790126065</v>
      </c>
      <c r="M16" t="s">
        <v>3</v>
      </c>
      <c r="N16" s="88">
        <f>Samples_for_P_analysis[[#This Row],[Column32]]+Samples_for_P_analysis[[#This Row],[Column8]]+Samples_for_P_analysis[[#This Row],[Column42]]</f>
        <v>0.14273822909036699</v>
      </c>
      <c r="O16">
        <f>Samples_for_P_analysis[[#This Row],[Column9]]*1000</f>
        <v>142.73822909036699</v>
      </c>
    </row>
    <row r="17" spans="1:15">
      <c r="A17" s="5" t="s">
        <v>31</v>
      </c>
      <c r="B17" s="10" t="s">
        <v>32</v>
      </c>
      <c r="C17" s="49">
        <v>0.52301209999999998</v>
      </c>
      <c r="D17" s="68">
        <f>(Samples_for_P_analysis[[#This Row],[Column3]]*50/1000)/Samples_for_P_analysis[[#This Row],[Column2]]</f>
        <v>2.3244982222222224E-2</v>
      </c>
      <c r="E17" s="3">
        <v>4.4570380718402598</v>
      </c>
      <c r="F17" s="3"/>
      <c r="G17" s="68"/>
      <c r="H17" s="58">
        <v>0.1469645</v>
      </c>
      <c r="I17" s="81">
        <f>(Samples_for_P_analysis[[#This Row],[Column43]]*50/1000)/Samples_for_P_analysis[[#This Row],[Column2]]</f>
        <v>6.5317555555555558E-3</v>
      </c>
      <c r="J17" s="71">
        <v>1.8176896211765186</v>
      </c>
      <c r="L17">
        <f>(Samples_for_P_analysis[[#This Row],[Column5]]*45/1000)/Samples_for_P_analysis[[#This Row],[Column2]]</f>
        <v>7.2707584847060747E-2</v>
      </c>
      <c r="M17" t="s">
        <v>3</v>
      </c>
      <c r="N17" s="88">
        <f>Samples_for_P_analysis[[#This Row],[Column32]]+Samples_for_P_analysis[[#This Row],[Column8]]+Samples_for_P_analysis[[#This Row],[Column42]]</f>
        <v>0.10248432262483853</v>
      </c>
      <c r="O17">
        <f>Samples_for_P_analysis[[#This Row],[Column9]]*1000</f>
        <v>102.48432262483853</v>
      </c>
    </row>
    <row r="18" spans="1:15">
      <c r="A18" s="5" t="s">
        <v>33</v>
      </c>
      <c r="B18" s="10" t="s">
        <v>34</v>
      </c>
      <c r="C18" s="49">
        <v>0.28717110000000001</v>
      </c>
      <c r="D18" s="68">
        <f>(Samples_for_P_analysis[[#This Row],[Column3]]*50/1000)/Samples_for_P_analysis[[#This Row],[Column2]]</f>
        <v>1.4035733137829914E-2</v>
      </c>
      <c r="E18" s="3">
        <v>4.2765840180619703</v>
      </c>
      <c r="F18" s="3"/>
      <c r="G18" s="68"/>
      <c r="H18" s="58">
        <v>0.60708699999999993</v>
      </c>
      <c r="I18" s="81">
        <f>(Samples_for_P_analysis[[#This Row],[Column43]]*50/1000)/Samples_for_P_analysis[[#This Row],[Column2]]</f>
        <v>2.9671896383186704E-2</v>
      </c>
      <c r="J18" s="71">
        <v>1.6074631316455099</v>
      </c>
      <c r="L18">
        <f>(Samples_for_P_analysis[[#This Row],[Column5]]*45/1000)/Samples_for_P_analysis[[#This Row],[Column2]]</f>
        <v>7.0709521919890467E-2</v>
      </c>
      <c r="M18" t="s">
        <v>3</v>
      </c>
      <c r="N18" s="88">
        <f>Samples_for_P_analysis[[#This Row],[Column32]]+Samples_for_P_analysis[[#This Row],[Column8]]+Samples_for_P_analysis[[#This Row],[Column42]]</f>
        <v>0.11441715144090708</v>
      </c>
      <c r="O18">
        <f>Samples_for_P_analysis[[#This Row],[Column9]]*1000</f>
        <v>114.41715144090708</v>
      </c>
    </row>
    <row r="19" spans="1:15">
      <c r="A19" s="5" t="s">
        <v>35</v>
      </c>
      <c r="B19" s="10" t="s">
        <v>36</v>
      </c>
      <c r="C19" s="49">
        <v>0.22474260000000001</v>
      </c>
      <c r="D19" s="68">
        <f>(Samples_for_P_analysis[[#This Row],[Column3]]*50/1000)/Samples_for_P_analysis[[#This Row],[Column2]]</f>
        <v>1.0114428442844284E-2</v>
      </c>
      <c r="E19" s="3">
        <v>5.4499839904673397</v>
      </c>
      <c r="F19" s="3"/>
      <c r="G19" s="68"/>
      <c r="H19" s="58">
        <v>0.293929</v>
      </c>
      <c r="I19" s="81">
        <f>(Samples_for_P_analysis[[#This Row],[Column43]]*50/1000)/Samples_for_P_analysis[[#This Row],[Column2]]</f>
        <v>1.3228127812781277E-2</v>
      </c>
      <c r="J19" s="71">
        <v>1.21203126764839</v>
      </c>
      <c r="L19">
        <f>(Samples_for_P_analysis[[#This Row],[Column5]]*45/1000)/Samples_for_P_analysis[[#This Row],[Column2]]</f>
        <v>4.9092175557315522E-2</v>
      </c>
      <c r="M19" t="s">
        <v>3</v>
      </c>
      <c r="N19" s="88">
        <f>Samples_for_P_analysis[[#This Row],[Column32]]+Samples_for_P_analysis[[#This Row],[Column8]]+Samples_for_P_analysis[[#This Row],[Column42]]</f>
        <v>7.2434731812941078E-2</v>
      </c>
      <c r="O19">
        <f>Samples_for_P_analysis[[#This Row],[Column9]]*1000</f>
        <v>72.434731812941081</v>
      </c>
    </row>
    <row r="20" spans="1:15">
      <c r="A20" s="5" t="s">
        <v>37</v>
      </c>
      <c r="B20" s="10" t="s">
        <v>24</v>
      </c>
      <c r="C20" s="49">
        <v>8.046339999999999E-2</v>
      </c>
      <c r="D20" s="68">
        <f>(Samples_for_P_analysis[[#This Row],[Column3]]*50/1000)/Samples_for_P_analysis[[#This Row],[Column2]]</f>
        <v>3.7251574074074066E-3</v>
      </c>
      <c r="E20" s="3">
        <v>4.8224503527757401</v>
      </c>
      <c r="F20" s="3"/>
      <c r="G20" s="68"/>
      <c r="H20" s="58">
        <v>0.20877199999999999</v>
      </c>
      <c r="I20" s="81">
        <f>(Samples_for_P_analysis[[#This Row],[Column43]]*50/1000)/Samples_for_P_analysis[[#This Row],[Column2]]</f>
        <v>9.6653703703703693E-3</v>
      </c>
      <c r="J20" s="71">
        <v>1.3402752019453501</v>
      </c>
      <c r="L20">
        <f>(Samples_for_P_analysis[[#This Row],[Column5]]*45/1000)/Samples_for_P_analysis[[#This Row],[Column2]]</f>
        <v>5.5844800081056252E-2</v>
      </c>
      <c r="M20" t="s">
        <v>3</v>
      </c>
      <c r="N20" s="88">
        <f>Samples_for_P_analysis[[#This Row],[Column32]]+Samples_for_P_analysis[[#This Row],[Column8]]+Samples_for_P_analysis[[#This Row],[Column42]]</f>
        <v>6.9235327858834031E-2</v>
      </c>
      <c r="O20">
        <f>Samples_for_P_analysis[[#This Row],[Column9]]*1000</f>
        <v>69.235327858834026</v>
      </c>
    </row>
    <row r="21" spans="1:15">
      <c r="A21" s="5" t="s">
        <v>38</v>
      </c>
      <c r="B21" s="10" t="s">
        <v>39</v>
      </c>
      <c r="C21" s="49">
        <v>0.83792919999999993</v>
      </c>
      <c r="D21" s="68">
        <f>(Samples_for_P_analysis[[#This Row],[Column3]]*50/1000)/Samples_for_P_analysis[[#This Row],[Column2]]</f>
        <v>3.9863425309229303E-2</v>
      </c>
      <c r="E21" s="3">
        <v>2.9268752669800202</v>
      </c>
      <c r="F21" s="3"/>
      <c r="G21" s="68"/>
      <c r="H21" s="58">
        <v>11.046916</v>
      </c>
      <c r="I21" s="81">
        <f>(Samples_for_P_analysis[[#This Row],[Column43]]*50/1000)/Samples_for_P_analysis[[#This Row],[Column2]]</f>
        <v>0.52554310180780206</v>
      </c>
      <c r="J21" s="71">
        <v>1.3070936302527718</v>
      </c>
      <c r="L21">
        <f>(Samples_for_P_analysis[[#This Row],[Column5]]*45/1000)/Samples_for_P_analysis[[#This Row],[Column2]]</f>
        <v>5.5964998440889376E-2</v>
      </c>
      <c r="M21" t="s">
        <v>3</v>
      </c>
      <c r="N21" s="88">
        <f>Samples_for_P_analysis[[#This Row],[Column32]]+Samples_for_P_analysis[[#This Row],[Column8]]+Samples_for_P_analysis[[#This Row],[Column42]]</f>
        <v>0.62137152555792075</v>
      </c>
      <c r="O21">
        <f>Samples_for_P_analysis[[#This Row],[Column9]]*1000</f>
        <v>621.37152555792079</v>
      </c>
    </row>
    <row r="22" spans="1:15">
      <c r="A22" s="5" t="s">
        <v>40</v>
      </c>
      <c r="B22" s="10" t="s">
        <v>41</v>
      </c>
      <c r="C22" s="49">
        <v>8.7399900000000003E-2</v>
      </c>
      <c r="D22" s="68">
        <f>(Samples_for_P_analysis[[#This Row],[Column3]]*50/1000)/Samples_for_P_analysis[[#This Row],[Column2]]</f>
        <v>3.7065267175572522E-3</v>
      </c>
      <c r="E22" s="3">
        <v>4.4623437847049301</v>
      </c>
      <c r="F22" s="3"/>
      <c r="G22" s="68"/>
      <c r="H22" s="58">
        <v>0.21976000000000001</v>
      </c>
      <c r="I22" s="81">
        <f>(Samples_for_P_analysis[[#This Row],[Column43]]*50/1000)/Samples_for_P_analysis[[#This Row],[Column2]]</f>
        <v>9.3197625106022051E-3</v>
      </c>
      <c r="J22" s="71">
        <v>1.5672550112281318</v>
      </c>
      <c r="L22">
        <f>(Samples_for_P_analysis[[#This Row],[Column5]]*45/1000)/Samples_for_P_analysis[[#This Row],[Column2]]</f>
        <v>5.9818893558325641E-2</v>
      </c>
      <c r="M22" t="s">
        <v>3</v>
      </c>
      <c r="N22" s="88">
        <f>Samples_for_P_analysis[[#This Row],[Column32]]+Samples_for_P_analysis[[#This Row],[Column8]]+Samples_for_P_analysis[[#This Row],[Column42]]</f>
        <v>7.2845182786485108E-2</v>
      </c>
      <c r="O22">
        <f>Samples_for_P_analysis[[#This Row],[Column9]]*1000</f>
        <v>72.845182786485111</v>
      </c>
    </row>
    <row r="23" spans="1:15">
      <c r="A23" s="5" t="s">
        <v>42</v>
      </c>
      <c r="B23" s="10" t="s">
        <v>43</v>
      </c>
      <c r="C23" s="49">
        <v>0.19699659999999999</v>
      </c>
      <c r="D23" s="68">
        <f>(Samples_for_P_analysis[[#This Row],[Column3]]*50/1000)/Samples_for_P_analysis[[#This Row],[Column2]]</f>
        <v>7.5884668721109385E-3</v>
      </c>
      <c r="E23" s="3">
        <v>3.4437246759818398</v>
      </c>
      <c r="F23" s="3"/>
      <c r="G23" s="68"/>
      <c r="H23" s="58">
        <v>1.3007044999999997</v>
      </c>
      <c r="I23" s="81">
        <f>(Samples_for_P_analysis[[#This Row],[Column43]]*50/1000)/Samples_for_P_analysis[[#This Row],[Column2]]</f>
        <v>5.0104179506933737E-2</v>
      </c>
      <c r="J23" s="71">
        <v>2.6609002183744566</v>
      </c>
      <c r="L23">
        <f>(Samples_for_P_analysis[[#This Row],[Column5]]*45/1000)/Samples_for_P_analysis[[#This Row],[Column2]]</f>
        <v>9.2250007570763126E-2</v>
      </c>
      <c r="M23" t="s">
        <v>3</v>
      </c>
      <c r="N23" s="88">
        <f>Samples_for_P_analysis[[#This Row],[Column32]]+Samples_for_P_analysis[[#This Row],[Column8]]+Samples_for_P_analysis[[#This Row],[Column42]]</f>
        <v>0.1499426539498078</v>
      </c>
      <c r="O23">
        <f>Samples_for_P_analysis[[#This Row],[Column9]]*1000</f>
        <v>149.94265394980781</v>
      </c>
    </row>
    <row r="24" spans="1:15">
      <c r="A24" s="5" t="s">
        <v>44</v>
      </c>
      <c r="B24" s="10" t="s">
        <v>45</v>
      </c>
      <c r="C24" s="49">
        <v>0.30936790000000003</v>
      </c>
      <c r="D24" s="68">
        <f>(Samples_for_P_analysis[[#This Row],[Column3]]*50/1000)/Samples_for_P_analysis[[#This Row],[Column2]]</f>
        <v>1.3700969884853854E-2</v>
      </c>
      <c r="E24" s="3">
        <v>2.8693558364200902</v>
      </c>
      <c r="F24" s="3"/>
      <c r="G24" s="68"/>
      <c r="H24" s="58">
        <v>1.2649934999999999</v>
      </c>
      <c r="I24" s="81">
        <f>(Samples_for_P_analysis[[#This Row],[Column43]]*50/1000)/Samples_for_P_analysis[[#This Row],[Column2]]</f>
        <v>5.6022741364038967E-2</v>
      </c>
      <c r="J24" s="71">
        <v>3.3560316123055158</v>
      </c>
      <c r="L24">
        <f>(Samples_for_P_analysis[[#This Row],[Column5]]*45/1000)/Samples_for_P_analysis[[#This Row],[Column2]]</f>
        <v>0.13376565328055642</v>
      </c>
      <c r="M24" t="s">
        <v>3</v>
      </c>
      <c r="N24" s="88">
        <f>Samples_for_P_analysis[[#This Row],[Column32]]+Samples_for_P_analysis[[#This Row],[Column8]]+Samples_for_P_analysis[[#This Row],[Column42]]</f>
        <v>0.20348936452944927</v>
      </c>
      <c r="O24">
        <f>Samples_for_P_analysis[[#This Row],[Column9]]*1000</f>
        <v>203.48936452944926</v>
      </c>
    </row>
    <row r="25" spans="1:15">
      <c r="A25" s="24" t="s">
        <v>46</v>
      </c>
      <c r="B25" s="25" t="s">
        <v>47</v>
      </c>
      <c r="C25" s="50">
        <v>0.38289479999999998</v>
      </c>
      <c r="D25" s="43">
        <f>(Samples_for_P_analysis[[#This Row],[Column3]]*50/1000)/Samples_for_P_analysis[[#This Row],[Column2]]</f>
        <v>1.8533146176185868E-2</v>
      </c>
      <c r="E25" s="89">
        <v>5.1078821526362699</v>
      </c>
      <c r="F25" s="89"/>
      <c r="G25" s="26"/>
      <c r="H25" s="59">
        <v>0.38045950000000001</v>
      </c>
      <c r="I25" s="83">
        <f>(Samples_for_P_analysis[[#This Row],[Column43]]*50/1000)/Samples_for_P_analysis[[#This Row],[Column2]]</f>
        <v>1.8415271055179087E-2</v>
      </c>
      <c r="J25" s="72">
        <v>16.506092090970316</v>
      </c>
      <c r="K25" s="72"/>
      <c r="L25" s="26">
        <f>(Samples_for_P_analysis[[#This Row],[Column5]]*45/1000)/Samples_for_P_analysis[[#This Row],[Column2]]</f>
        <v>0.71904563803839727</v>
      </c>
      <c r="M25" t="s">
        <v>3</v>
      </c>
      <c r="N25" s="88">
        <f>Samples_for_P_analysis[[#This Row],[Column32]]+Samples_for_P_analysis[[#This Row],[Column4]]+Samples_for_P_analysis[[#This Row],[Column8]]</f>
        <v>0.73757878421458312</v>
      </c>
      <c r="O25">
        <f>Samples_for_P_analysis[[#This Row],[Column9]]*1000</f>
        <v>737.57878421458315</v>
      </c>
    </row>
    <row r="26" spans="1:15">
      <c r="A26" s="24" t="s">
        <v>48</v>
      </c>
      <c r="B26" s="25" t="s">
        <v>49</v>
      </c>
      <c r="C26" s="50">
        <v>0.36485990000000001</v>
      </c>
      <c r="D26" s="43">
        <f>(Samples_for_P_analysis[[#This Row],[Column3]]*50/1000)/Samples_for_P_analysis[[#This Row],[Column2]]</f>
        <v>1.8098209325396828E-2</v>
      </c>
      <c r="E26" s="89">
        <v>6.5944089086264199</v>
      </c>
      <c r="F26" s="89"/>
      <c r="G26" s="26"/>
      <c r="H26" s="59">
        <v>0.38870049999999995</v>
      </c>
      <c r="I26" s="83">
        <f>(Samples_for_P_analysis[[#This Row],[Column43]]*50/1000)/Samples_for_P_analysis[[#This Row],[Column2]]</f>
        <v>1.9280778769841266E-2</v>
      </c>
      <c r="J26" s="72">
        <v>17.598863904315134</v>
      </c>
      <c r="K26" s="72"/>
      <c r="L26" s="26">
        <f>(Samples_for_P_analysis[[#This Row],[Column5]]*45/1000)/Samples_for_P_analysis[[#This Row],[Column2]]</f>
        <v>0.78566356715692565</v>
      </c>
      <c r="M26" t="s">
        <v>3</v>
      </c>
      <c r="N26" s="88">
        <f>Samples_for_P_analysis[[#This Row],[Column32]]+Samples_for_P_analysis[[#This Row],[Column4]]+Samples_for_P_analysis[[#This Row],[Column8]]</f>
        <v>0.8037617764823225</v>
      </c>
      <c r="O26">
        <f>Samples_for_P_analysis[[#This Row],[Column9]]*1000</f>
        <v>803.76177648232249</v>
      </c>
    </row>
    <row r="27" spans="1:15">
      <c r="A27" s="19" t="s">
        <v>50</v>
      </c>
      <c r="B27" s="20">
        <v>0</v>
      </c>
      <c r="C27" s="21">
        <v>0</v>
      </c>
      <c r="D27" s="44"/>
      <c r="E27" s="44">
        <v>8.5418747036679203</v>
      </c>
      <c r="F27" s="44"/>
      <c r="G27" s="22"/>
      <c r="H27" s="44">
        <v>0</v>
      </c>
      <c r="I27" s="84"/>
      <c r="J27" s="44">
        <v>-1.0271651072280395E-2</v>
      </c>
      <c r="K27" s="44"/>
      <c r="L27" s="22"/>
      <c r="M27" t="s">
        <v>3</v>
      </c>
      <c r="N27" s="88">
        <f>Samples_for_P_analysis[[#This Row],[Column32]]+Samples_for_P_analysis[[#This Row],[Column4]]+Samples_for_P_analysis[[#This Row],[Column42]]+Samples_for_P_analysis[[#This Row],[Column8]]</f>
        <v>0</v>
      </c>
      <c r="O27">
        <f>Samples_for_P_analysis[[#This Row],[Column9]]*1000</f>
        <v>0</v>
      </c>
    </row>
    <row r="28" spans="1:15">
      <c r="A28" s="5" t="s">
        <v>51</v>
      </c>
      <c r="B28" s="10" t="s">
        <v>52</v>
      </c>
      <c r="C28" s="51">
        <v>0.18282390000000004</v>
      </c>
      <c r="D28" s="68">
        <f>(Samples_for_P_analysis[[#This Row],[Column3]]*50/1000)/Samples_for_P_analysis[[#This Row],[Column2]]</f>
        <v>7.8129871794871807E-3</v>
      </c>
      <c r="E28" s="3">
        <v>2.2292129059227199</v>
      </c>
      <c r="F28" s="3"/>
      <c r="G28" s="68"/>
      <c r="H28" s="58">
        <v>0.41443250000000004</v>
      </c>
      <c r="I28" s="81">
        <f>(Samples_for_P_analysis[[#This Row],[Column43]]*50/1000)/Samples_for_P_analysis[[#This Row],[Column2]]</f>
        <v>1.7710790598290602E-2</v>
      </c>
      <c r="J28" s="71">
        <v>5.3870885570166012</v>
      </c>
      <c r="K28" s="71">
        <f>Samples_for_P_analysis[[#This Row],[Column5]]-$J$52</f>
        <v>5.124166061203387</v>
      </c>
      <c r="L28">
        <f>(Samples_for_P_analysis[[#This Row],[Column11]]*45/1000)/Samples_for_P_analysis[[#This Row],[Column2]]</f>
        <v>0.19708331004628413</v>
      </c>
      <c r="M28" t="s">
        <v>3</v>
      </c>
      <c r="N28" s="88">
        <f>Samples_for_P_analysis[[#This Row],[Column32]]+Samples_for_P_analysis[[#This Row],[Column4]]+Samples_for_P_analysis[[#This Row],[Column42]]+Samples_for_P_analysis[[#This Row],[Column8]]</f>
        <v>0.22260708782406191</v>
      </c>
      <c r="O28">
        <f>Samples_for_P_analysis[[#This Row],[Column9]]*1000</f>
        <v>222.60708782406192</v>
      </c>
    </row>
    <row r="29" spans="1:15">
      <c r="A29" s="5" t="s">
        <v>53</v>
      </c>
      <c r="B29" s="10" t="s">
        <v>39</v>
      </c>
      <c r="C29" s="51">
        <v>3.3454181999999997</v>
      </c>
      <c r="D29" s="68">
        <f>(Samples_for_P_analysis[[#This Row],[Column3]]*50/1000)/Samples_for_P_analysis[[#This Row],[Column2]]</f>
        <v>0.15915405328258803</v>
      </c>
      <c r="E29" s="3">
        <v>3.6633285501651498</v>
      </c>
      <c r="F29" s="3"/>
      <c r="G29" s="68"/>
      <c r="H29" s="58">
        <v>21.6053</v>
      </c>
      <c r="I29" s="81">
        <f>(Samples_for_P_analysis[[#This Row],[Column43]]*50/1000)/Samples_for_P_analysis[[#This Row],[Column2]]</f>
        <v>1.0278449096098952</v>
      </c>
      <c r="J29" s="71">
        <v>12.807498980954835</v>
      </c>
      <c r="K29" s="71">
        <f>Samples_for_P_analysis[[#This Row],[Column5]]-$J$52</f>
        <v>12.54457648514162</v>
      </c>
      <c r="L29">
        <f>(Samples_for_P_analysis[[#This Row],[Column11]]*45/1000)/Samples_for_P_analysis[[#This Row],[Column2]]</f>
        <v>0.53711317015354221</v>
      </c>
      <c r="M29" t="s">
        <v>3</v>
      </c>
      <c r="N29" s="88">
        <f>Samples_for_P_analysis[[#This Row],[Column32]]+Samples_for_P_analysis[[#This Row],[Column4]]+Samples_for_P_analysis[[#This Row],[Column42]]+Samples_for_P_analysis[[#This Row],[Column8]]</f>
        <v>1.7241121330460252</v>
      </c>
      <c r="O29">
        <f>Samples_for_P_analysis[[#This Row],[Column9]]*1000</f>
        <v>1724.1121330460251</v>
      </c>
    </row>
    <row r="30" spans="1:15">
      <c r="A30" s="5" t="s">
        <v>54</v>
      </c>
      <c r="B30" s="10" t="s">
        <v>55</v>
      </c>
      <c r="C30" s="51">
        <v>0.17261289999999999</v>
      </c>
      <c r="D30" s="68">
        <f>(Samples_for_P_analysis[[#This Row],[Column3]]*50/1000)/Samples_for_P_analysis[[#This Row],[Column2]]</f>
        <v>6.84428628072958E-3</v>
      </c>
      <c r="E30" s="3">
        <v>0.74350563433218897</v>
      </c>
      <c r="F30" s="3"/>
      <c r="G30" s="68"/>
      <c r="H30" s="58">
        <v>1.2771125000000001</v>
      </c>
      <c r="I30" s="81">
        <f>(Samples_for_P_analysis[[#This Row],[Column43]]*50/1000)/Samples_for_P_analysis[[#This Row],[Column2]]</f>
        <v>5.0638877874702622E-2</v>
      </c>
      <c r="J30" s="71">
        <v>6.1022442502833316</v>
      </c>
      <c r="K30" s="71">
        <f>Samples_for_P_analysis[[#This Row],[Column5]]-$J$52</f>
        <v>5.8393217544701175</v>
      </c>
      <c r="L30">
        <f>(Samples_for_P_analysis[[#This Row],[Column11]]*45/1000)/Samples_for_P_analysis[[#This Row],[Column2]]</f>
        <v>0.20838182311749032</v>
      </c>
      <c r="M30" t="s">
        <v>3</v>
      </c>
      <c r="N30" s="88">
        <f>Samples_for_P_analysis[[#This Row],[Column32]]+Samples_for_P_analysis[[#This Row],[Column4]]+Samples_for_P_analysis[[#This Row],[Column42]]+Samples_for_P_analysis[[#This Row],[Column8]]</f>
        <v>0.26586498727292251</v>
      </c>
      <c r="O30">
        <f>Samples_for_P_analysis[[#This Row],[Column9]]*1000</f>
        <v>265.86498727292252</v>
      </c>
    </row>
    <row r="31" spans="1:15">
      <c r="A31" s="5" t="s">
        <v>56</v>
      </c>
      <c r="B31" s="10" t="s">
        <v>57</v>
      </c>
      <c r="C31" s="51">
        <v>1.0071356</v>
      </c>
      <c r="D31" s="68">
        <f>(Samples_for_P_analysis[[#This Row],[Column3]]*50/1000)/Samples_for_P_analysis[[#This Row],[Column2]]</f>
        <v>4.6930829450139801E-2</v>
      </c>
      <c r="E31" s="3">
        <v>1.1741955302531699</v>
      </c>
      <c r="F31" s="3"/>
      <c r="G31" s="68"/>
      <c r="H31" s="58">
        <v>2.7065250000000001</v>
      </c>
      <c r="I31" s="81">
        <f>(Samples_for_P_analysis[[#This Row],[Column43]]*50/1000)/Samples_for_P_analysis[[#This Row],[Column2]]</f>
        <v>0.12611952469711091</v>
      </c>
      <c r="J31" s="71">
        <v>7.9737731758894084</v>
      </c>
      <c r="K31" s="71">
        <f>Samples_for_P_analysis[[#This Row],[Column5]]-$J$52</f>
        <v>7.7108506800761942</v>
      </c>
      <c r="L31">
        <f>(Samples_for_P_analysis[[#This Row],[Column11]]*45/1000)/Samples_for_P_analysis[[#This Row],[Column2]]</f>
        <v>0.32338143579070711</v>
      </c>
      <c r="M31" t="s">
        <v>3</v>
      </c>
      <c r="N31" s="88">
        <f>Samples_for_P_analysis[[#This Row],[Column32]]+Samples_for_P_analysis[[#This Row],[Column4]]+Samples_for_P_analysis[[#This Row],[Column42]]+Samples_for_P_analysis[[#This Row],[Column8]]</f>
        <v>0.49643178993795778</v>
      </c>
      <c r="O31">
        <f>Samples_for_P_analysis[[#This Row],[Column9]]*1000</f>
        <v>496.43178993795777</v>
      </c>
    </row>
    <row r="32" spans="1:15">
      <c r="A32" s="5" t="s">
        <v>58</v>
      </c>
      <c r="B32" s="10" t="s">
        <v>59</v>
      </c>
      <c r="C32" s="51">
        <v>0.24723490000000004</v>
      </c>
      <c r="D32" s="68">
        <f>(Samples_for_P_analysis[[#This Row],[Column3]]*50/1000)/Samples_for_P_analysis[[#This Row],[Column2]]</f>
        <v>1.1510004655493483E-2</v>
      </c>
      <c r="E32" s="3">
        <v>2.7251146188117099</v>
      </c>
      <c r="F32" s="3"/>
      <c r="G32" s="68"/>
      <c r="H32" s="58">
        <v>0.59139249999999999</v>
      </c>
      <c r="I32" s="81">
        <f>(Samples_for_P_analysis[[#This Row],[Column43]]*50/1000)/Samples_for_P_analysis[[#This Row],[Column2]]</f>
        <v>2.7532239292364986E-2</v>
      </c>
      <c r="J32" s="71">
        <v>2.8046530785470112</v>
      </c>
      <c r="K32" s="71">
        <f>Samples_for_P_analysis[[#This Row],[Column5]]-$J$52</f>
        <v>2.5417305827337975</v>
      </c>
      <c r="L32">
        <f>(Samples_for_P_analysis[[#This Row],[Column11]]*45/1000)/Samples_for_P_analysis[[#This Row],[Column2]]</f>
        <v>0.10649709145532671</v>
      </c>
      <c r="M32" t="s">
        <v>3</v>
      </c>
      <c r="N32" s="88">
        <f>Samples_for_P_analysis[[#This Row],[Column32]]+Samples_for_P_analysis[[#This Row],[Column4]]+Samples_for_P_analysis[[#This Row],[Column42]]+Samples_for_P_analysis[[#This Row],[Column8]]</f>
        <v>0.14553933540318517</v>
      </c>
      <c r="O32">
        <f>Samples_for_P_analysis[[#This Row],[Column9]]*1000</f>
        <v>145.53933540318516</v>
      </c>
    </row>
    <row r="33" spans="1:15">
      <c r="A33" s="23" t="s">
        <v>60</v>
      </c>
      <c r="B33" s="11" t="s">
        <v>34</v>
      </c>
      <c r="C33" s="52">
        <v>1.1689432000000002</v>
      </c>
      <c r="D33" s="68">
        <f>(Samples_for_P_analysis[[#This Row],[Column3]]*50/1000)/Samples_for_P_analysis[[#This Row],[Column2]]</f>
        <v>5.7133098729227776E-2</v>
      </c>
      <c r="E33" s="3">
        <v>3.7383083819110698</v>
      </c>
      <c r="F33" s="3"/>
      <c r="G33" s="68"/>
      <c r="H33" s="58">
        <v>3.9369500000000004</v>
      </c>
      <c r="I33" s="81">
        <f>(Samples_for_P_analysis[[#This Row],[Column43]]*50/1000)/Samples_for_P_analysis[[#This Row],[Column2]]</f>
        <v>0.1924217986314761</v>
      </c>
      <c r="J33" s="71">
        <v>8.1638076821369534</v>
      </c>
      <c r="K33" s="71">
        <f>Samples_for_P_analysis[[#This Row],[Column5]]-$J$52</f>
        <v>7.9008851863237393</v>
      </c>
      <c r="L33">
        <f>(Samples_for_P_analysis[[#This Row],[Column11]]*45/1000)/Samples_for_P_analysis[[#This Row],[Column2]]</f>
        <v>0.34754626919312642</v>
      </c>
      <c r="M33" t="s">
        <v>3</v>
      </c>
      <c r="N33" s="88">
        <f>Samples_for_P_analysis[[#This Row],[Column32]]+Samples_for_P_analysis[[#This Row],[Column4]]+Samples_for_P_analysis[[#This Row],[Column42]]+Samples_for_P_analysis[[#This Row],[Column8]]</f>
        <v>0.59710116655383028</v>
      </c>
      <c r="O33">
        <f>Samples_for_P_analysis[[#This Row],[Column9]]*1000</f>
        <v>597.10116655383024</v>
      </c>
    </row>
    <row r="34" spans="1:15">
      <c r="A34" s="23" t="s">
        <v>61</v>
      </c>
      <c r="B34" s="11" t="s">
        <v>62</v>
      </c>
      <c r="C34" s="52">
        <v>1.7919103000000001</v>
      </c>
      <c r="D34" s="68">
        <f>(Samples_for_P_analysis[[#This Row],[Column3]]*50/1000)/Samples_for_P_analysis[[#This Row],[Column2]]</f>
        <v>8.7155170233463031E-2</v>
      </c>
      <c r="E34" s="3">
        <v>1.64824033806042</v>
      </c>
      <c r="F34" s="3"/>
      <c r="G34" s="68"/>
      <c r="H34" s="58">
        <v>9.0107250000000008</v>
      </c>
      <c r="I34" s="81">
        <f>(Samples_for_P_analysis[[#This Row],[Column43]]*50/1000)/Samples_for_P_analysis[[#This Row],[Column2]]</f>
        <v>0.43826483463035021</v>
      </c>
      <c r="J34" s="71">
        <v>7.4590074846509085</v>
      </c>
      <c r="K34" s="71">
        <f>Samples_for_P_analysis[[#This Row],[Column5]]-$J$52</f>
        <v>7.1960849888376943</v>
      </c>
      <c r="L34">
        <f>(Samples_for_P_analysis[[#This Row],[Column11]]*45/1000)/Samples_for_P_analysis[[#This Row],[Column2]]</f>
        <v>0.31500372032849827</v>
      </c>
      <c r="M34" t="s">
        <v>3</v>
      </c>
      <c r="N34" s="88">
        <f>Samples_for_P_analysis[[#This Row],[Column32]]+Samples_for_P_analysis[[#This Row],[Column4]]+Samples_for_P_analysis[[#This Row],[Column42]]+Samples_for_P_analysis[[#This Row],[Column8]]</f>
        <v>0.84042372519231145</v>
      </c>
      <c r="O34">
        <f>Samples_for_P_analysis[[#This Row],[Column9]]*1000</f>
        <v>840.42372519231151</v>
      </c>
    </row>
    <row r="35" spans="1:15">
      <c r="A35" s="23" t="s">
        <v>63</v>
      </c>
      <c r="B35" s="11" t="s">
        <v>64</v>
      </c>
      <c r="C35" s="52">
        <v>2.9847451999999999</v>
      </c>
      <c r="D35" s="68">
        <f>(Samples_for_P_analysis[[#This Row],[Column3]]*50/1000)/Samples_for_P_analysis[[#This Row],[Column2]]</f>
        <v>0.13011095030514383</v>
      </c>
      <c r="E35" s="3">
        <v>4.7906400021395399</v>
      </c>
      <c r="F35" s="3"/>
      <c r="G35" s="68"/>
      <c r="H35" s="58">
        <v>3.3010000000000002</v>
      </c>
      <c r="I35" s="81">
        <f>(Samples_for_P_analysis[[#This Row],[Column43]]*50/1000)/Samples_for_P_analysis[[#This Row],[Column2]]</f>
        <v>0.14389712292938101</v>
      </c>
      <c r="J35" s="71">
        <v>2.1657254976185749</v>
      </c>
      <c r="K35" s="71">
        <f>Samples_for_P_analysis[[#This Row],[Column5]]-$J$52</f>
        <v>1.9028030018053612</v>
      </c>
      <c r="L35">
        <f>(Samples_for_P_analysis[[#This Row],[Column11]]*45/1000)/Samples_for_P_analysis[[#This Row],[Column2]]</f>
        <v>7.4652253776147565E-2</v>
      </c>
      <c r="M35" t="s">
        <v>3</v>
      </c>
      <c r="N35" s="88">
        <f>Samples_for_P_analysis[[#This Row],[Column32]]+Samples_for_P_analysis[[#This Row],[Column4]]+Samples_for_P_analysis[[#This Row],[Column42]]+Samples_for_P_analysis[[#This Row],[Column8]]</f>
        <v>0.3486603270106724</v>
      </c>
      <c r="O35">
        <f>Samples_for_P_analysis[[#This Row],[Column9]]*1000</f>
        <v>348.6603270106724</v>
      </c>
    </row>
    <row r="36" spans="1:15" s="3" customFormat="1">
      <c r="A36" s="17" t="s">
        <v>65</v>
      </c>
      <c r="B36" s="76" t="s">
        <v>66</v>
      </c>
      <c r="C36" s="76">
        <v>0.42534539999999998</v>
      </c>
      <c r="D36" s="3">
        <f>(Samples_for_P_analysis[[#This Row],[Column3]]*50/1000)/Samples_for_P_analysis[[#This Row],[Column2]]</f>
        <v>2.0101389413988657E-2</v>
      </c>
      <c r="E36" s="3">
        <v>2.44543117302441</v>
      </c>
      <c r="H36" s="3">
        <v>2.0152749999999999</v>
      </c>
      <c r="I36" s="82">
        <f>(Samples_for_P_analysis[[#This Row],[Column43]]*50/1000)/Samples_for_P_analysis[[#This Row],[Column2]]</f>
        <v>9.5239839319470693E-2</v>
      </c>
      <c r="J36" s="3">
        <v>4.7538727253755972</v>
      </c>
      <c r="K36" s="71">
        <f>Samples_for_P_analysis[[#This Row],[Column5]]-$J$52</f>
        <v>4.4909502295623831</v>
      </c>
      <c r="L36">
        <f>(Samples_for_P_analysis[[#This Row],[Column11]]*45/1000)/Samples_for_P_analysis[[#This Row],[Column2]]</f>
        <v>0.19101395116286127</v>
      </c>
      <c r="M36" s="3" t="s">
        <v>288</v>
      </c>
      <c r="N36" s="88">
        <f>Samples_for_P_analysis[[#This Row],[Column32]]+Samples_for_P_analysis[[#This Row],[Column4]]+Samples_for_P_analysis[[#This Row],[Column42]]+Samples_for_P_analysis[[#This Row],[Column8]]</f>
        <v>0.30635517989632061</v>
      </c>
      <c r="O36">
        <f>Samples_for_P_analysis[[#This Row],[Column9]]*1000</f>
        <v>306.35517989632058</v>
      </c>
    </row>
    <row r="37" spans="1:15" s="3" customFormat="1">
      <c r="A37" s="17" t="s">
        <v>67</v>
      </c>
      <c r="B37" s="76">
        <v>1.145</v>
      </c>
      <c r="C37" s="76">
        <v>0.16168100000000002</v>
      </c>
      <c r="D37" s="3">
        <f>(Samples_for_P_analysis[[#This Row],[Column3]]*50/1000)/Samples_for_P_analysis[[#This Row],[Column2]]</f>
        <v>7.0603056768558953E-3</v>
      </c>
      <c r="E37" s="3">
        <v>2.6355994068390198</v>
      </c>
      <c r="H37" s="3">
        <v>0.27065250000000002</v>
      </c>
      <c r="I37" s="82">
        <f>(Samples_for_P_analysis[[#This Row],[Column43]]*50/1000)/Samples_for_P_analysis[[#This Row],[Column2]]</f>
        <v>1.1818886462882096E-2</v>
      </c>
      <c r="J37" s="3">
        <v>2.742265552010172</v>
      </c>
      <c r="K37" s="71">
        <f>Samples_for_P_analysis[[#This Row],[Column5]]-$J$52</f>
        <v>2.4793430561969583</v>
      </c>
      <c r="L37">
        <f>(Samples_for_P_analysis[[#This Row],[Column11]]*45/1000)/Samples_for_P_analysis[[#This Row],[Column2]]</f>
        <v>9.7441430156212344E-2</v>
      </c>
      <c r="M37" s="3" t="s">
        <v>3</v>
      </c>
      <c r="N37" s="88">
        <f>Samples_for_P_analysis[[#This Row],[Column32]]+Samples_for_P_analysis[[#This Row],[Column4]]+Samples_for_P_analysis[[#This Row],[Column42]]+Samples_for_P_analysis[[#This Row],[Column8]]</f>
        <v>0.11632062229595033</v>
      </c>
      <c r="O37">
        <f>Samples_for_P_analysis[[#This Row],[Column9]]*1000</f>
        <v>116.32062229595033</v>
      </c>
    </row>
    <row r="38" spans="1:15">
      <c r="A38" s="5" t="s">
        <v>68</v>
      </c>
      <c r="B38" s="10" t="s">
        <v>69</v>
      </c>
      <c r="C38" s="51">
        <v>0.10073969999999999</v>
      </c>
      <c r="D38" s="68">
        <f>(Samples_for_P_analysis[[#This Row],[Column3]]*50/1000)/Samples_for_P_analysis[[#This Row],[Column2]]</f>
        <v>4.6552541589648796E-3</v>
      </c>
      <c r="E38" s="3">
        <v>1.62073078511272</v>
      </c>
      <c r="F38" s="3"/>
      <c r="G38" s="68"/>
      <c r="H38" s="58">
        <v>0.52088500000000004</v>
      </c>
      <c r="I38" s="81">
        <f>(Samples_for_P_analysis[[#This Row],[Column43]]*50/1000)/Samples_for_P_analysis[[#This Row],[Column2]]</f>
        <v>2.4070471349353049E-2</v>
      </c>
      <c r="J38" s="71">
        <v>3.4128854711784666</v>
      </c>
      <c r="K38" s="71">
        <f>Samples_for_P_analysis[[#This Row],[Column5]]-$J$52</f>
        <v>3.1499629753652529</v>
      </c>
      <c r="L38">
        <f>(Samples_for_P_analysis[[#This Row],[Column11]]*45/1000)/Samples_for_P_analysis[[#This Row],[Column2]]</f>
        <v>0.13100585387378591</v>
      </c>
      <c r="M38" t="s">
        <v>3</v>
      </c>
      <c r="N38" s="88">
        <f>Samples_for_P_analysis[[#This Row],[Column32]]+Samples_for_P_analysis[[#This Row],[Column4]]+Samples_for_P_analysis[[#This Row],[Column42]]+Samples_for_P_analysis[[#This Row],[Column8]]</f>
        <v>0.15973157938210383</v>
      </c>
      <c r="O38">
        <f>Samples_for_P_analysis[[#This Row],[Column9]]*1000</f>
        <v>159.73157938210383</v>
      </c>
    </row>
    <row r="39" spans="1:15">
      <c r="A39" s="5" t="s">
        <v>70</v>
      </c>
      <c r="B39" s="10" t="s">
        <v>71</v>
      </c>
      <c r="C39" s="51">
        <v>6.0941299999999997E-2</v>
      </c>
      <c r="D39" s="68">
        <f>(Samples_for_P_analysis[[#This Row],[Column3]]*50/1000)/Samples_for_P_analysis[[#This Row],[Column2]]</f>
        <v>2.88821327014218E-3</v>
      </c>
      <c r="E39" s="3">
        <v>3.2106142632997399</v>
      </c>
      <c r="F39" s="3"/>
      <c r="G39" s="68"/>
      <c r="H39" s="58">
        <v>0.19185000000000002</v>
      </c>
      <c r="I39" s="81">
        <f>(Samples_for_P_analysis[[#This Row],[Column43]]*50/1000)/Samples_for_P_analysis[[#This Row],[Column2]]</f>
        <v>9.0924170616113759E-3</v>
      </c>
      <c r="J39" s="71">
        <v>3.3220166464933727</v>
      </c>
      <c r="K39" s="71">
        <f>Samples_for_P_analysis[[#This Row],[Column5]]-$J$52</f>
        <v>3.059094150680159</v>
      </c>
      <c r="L39">
        <f>(Samples_for_P_analysis[[#This Row],[Column11]]*45/1000)/Samples_for_P_analysis[[#This Row],[Column2]]</f>
        <v>0.13048268889157077</v>
      </c>
      <c r="M39" t="s">
        <v>3</v>
      </c>
      <c r="N39" s="88">
        <f>Samples_for_P_analysis[[#This Row],[Column32]]+Samples_for_P_analysis[[#This Row],[Column4]]+Samples_for_P_analysis[[#This Row],[Column42]]+Samples_for_P_analysis[[#This Row],[Column8]]</f>
        <v>0.14246331922332434</v>
      </c>
      <c r="O39">
        <f>Samples_for_P_analysis[[#This Row],[Column9]]*1000</f>
        <v>142.46331922332433</v>
      </c>
    </row>
    <row r="40" spans="1:15">
      <c r="A40" s="5" t="s">
        <v>72</v>
      </c>
      <c r="B40" s="10" t="s">
        <v>73</v>
      </c>
      <c r="C40" s="51">
        <v>0.10322709999999999</v>
      </c>
      <c r="D40" s="68">
        <f>(Samples_for_P_analysis[[#This Row],[Column3]]*50/1000)/Samples_for_P_analysis[[#This Row],[Column2]]</f>
        <v>4.4227549271636671E-3</v>
      </c>
      <c r="E40" s="3">
        <v>2.2056332891103998</v>
      </c>
      <c r="F40" s="3"/>
      <c r="G40" s="68"/>
      <c r="H40" s="58">
        <v>0.59415750000000001</v>
      </c>
      <c r="I40" s="81">
        <f>(Samples_for_P_analysis[[#This Row],[Column43]]*50/1000)/Samples_for_P_analysis[[#This Row],[Column2]]</f>
        <v>2.5456619537275064E-2</v>
      </c>
      <c r="J40" s="71">
        <v>4.1680891676539638</v>
      </c>
      <c r="K40" s="71">
        <f>Samples_for_P_analysis[[#This Row],[Column5]]-$J$52</f>
        <v>3.9051666718407501</v>
      </c>
      <c r="L40">
        <f>(Samples_for_P_analysis[[#This Row],[Column11]]*45/1000)/Samples_for_P_analysis[[#This Row],[Column2]]</f>
        <v>0.1505848331043991</v>
      </c>
      <c r="M40" t="s">
        <v>3</v>
      </c>
      <c r="N40" s="88">
        <f>Samples_for_P_analysis[[#This Row],[Column32]]+Samples_for_P_analysis[[#This Row],[Column4]]+Samples_for_P_analysis[[#This Row],[Column42]]+Samples_for_P_analysis[[#This Row],[Column8]]</f>
        <v>0.18046420756883783</v>
      </c>
      <c r="O40">
        <f>Samples_for_P_analysis[[#This Row],[Column9]]*1000</f>
        <v>180.46420756883782</v>
      </c>
    </row>
    <row r="41" spans="1:15">
      <c r="A41" s="5" t="s">
        <v>74</v>
      </c>
      <c r="B41" s="10" t="s">
        <v>75</v>
      </c>
      <c r="C41" s="51">
        <v>8.0840499999999982E-2</v>
      </c>
      <c r="D41" s="68">
        <f>(Samples_for_P_analysis[[#This Row],[Column3]]*50/1000)/Samples_for_P_analysis[[#This Row],[Column2]]</f>
        <v>3.8791026871401136E-3</v>
      </c>
      <c r="E41" s="3">
        <v>4.6447418708180699</v>
      </c>
      <c r="F41" s="3"/>
      <c r="G41" s="68"/>
      <c r="H41" s="58">
        <v>0.16972999999999999</v>
      </c>
      <c r="I41" s="81">
        <f>(Samples_for_P_analysis[[#This Row],[Column43]]*50/1000)/Samples_for_P_analysis[[#This Row],[Column2]]</f>
        <v>8.1444337811900185E-3</v>
      </c>
      <c r="J41" s="71">
        <v>1.8669060502484969</v>
      </c>
      <c r="K41" s="71">
        <f>Samples_for_P_analysis[[#This Row],[Column5]]-$J$52</f>
        <v>1.603983554435283</v>
      </c>
      <c r="L41">
        <f>(Samples_for_P_analysis[[#This Row],[Column11]]*45/1000)/Samples_for_P_analysis[[#This Row],[Column2]]</f>
        <v>6.9269923176187839E-2</v>
      </c>
      <c r="M41" t="s">
        <v>3</v>
      </c>
      <c r="N41" s="88">
        <f>Samples_for_P_analysis[[#This Row],[Column32]]+Samples_for_P_analysis[[#This Row],[Column4]]+Samples_for_P_analysis[[#This Row],[Column42]]+Samples_for_P_analysis[[#This Row],[Column8]]</f>
        <v>8.1293459644517979E-2</v>
      </c>
      <c r="O41">
        <f>Samples_for_P_analysis[[#This Row],[Column9]]*1000</f>
        <v>81.293459644517981</v>
      </c>
    </row>
    <row r="42" spans="1:15">
      <c r="A42" s="5" t="s">
        <v>76</v>
      </c>
      <c r="B42" s="10" t="s">
        <v>77</v>
      </c>
      <c r="C42" s="51">
        <v>0.25620219999999999</v>
      </c>
      <c r="D42" s="68">
        <f>(Samples_for_P_analysis[[#This Row],[Column3]]*50/1000)/Samples_for_P_analysis[[#This Row],[Column2]]</f>
        <v>9.2692547033285094E-3</v>
      </c>
      <c r="E42" s="3">
        <v>2.2619145206139799</v>
      </c>
      <c r="F42" s="3"/>
      <c r="G42" s="68"/>
      <c r="H42" s="58">
        <v>0.67710749999999997</v>
      </c>
      <c r="I42" s="81">
        <f>(Samples_for_P_analysis[[#This Row],[Column43]]*50/1000)/Samples_for_P_analysis[[#This Row],[Column2]]</f>
        <v>2.449737698986975E-2</v>
      </c>
      <c r="J42" s="71">
        <v>2.857621157619175</v>
      </c>
      <c r="K42" s="71">
        <f>Samples_for_P_analysis[[#This Row],[Column5]]-$J$52</f>
        <v>2.5946986618059613</v>
      </c>
      <c r="L42">
        <f>(Samples_for_P_analysis[[#This Row],[Column11]]*45/1000)/Samples_for_P_analysis[[#This Row],[Column2]]</f>
        <v>8.4487293618862716E-2</v>
      </c>
      <c r="M42" t="s">
        <v>3</v>
      </c>
      <c r="N42" s="88">
        <f>Samples_for_P_analysis[[#This Row],[Column32]]+Samples_for_P_analysis[[#This Row],[Column4]]+Samples_for_P_analysis[[#This Row],[Column42]]+Samples_for_P_analysis[[#This Row],[Column8]]</f>
        <v>0.11825392531206097</v>
      </c>
      <c r="O42">
        <f>Samples_for_P_analysis[[#This Row],[Column9]]*1000</f>
        <v>118.25392531206097</v>
      </c>
    </row>
    <row r="43" spans="1:15">
      <c r="A43" s="5" t="s">
        <v>78</v>
      </c>
      <c r="B43" s="10" t="s">
        <v>79</v>
      </c>
      <c r="C43" s="51">
        <v>0.10571449999999999</v>
      </c>
      <c r="D43" s="68">
        <f>(Samples_for_P_analysis[[#This Row],[Column3]]*50/1000)/Samples_for_P_analysis[[#This Row],[Column2]]</f>
        <v>4.3043363192182401E-3</v>
      </c>
      <c r="E43" s="3">
        <v>2.5518265673016001</v>
      </c>
      <c r="F43" s="3"/>
      <c r="G43" s="68"/>
      <c r="H43" s="58">
        <v>0.71858250000000001</v>
      </c>
      <c r="I43" s="81">
        <f>(Samples_for_P_analysis[[#This Row],[Column43]]*50/1000)/Samples_for_P_analysis[[#This Row],[Column2]]</f>
        <v>2.9258245114006515E-2</v>
      </c>
      <c r="J43" s="71">
        <v>2.3927166906776831</v>
      </c>
      <c r="K43" s="71">
        <f>Samples_for_P_analysis[[#This Row],[Column5]]-$J$52</f>
        <v>2.1297941948644694</v>
      </c>
      <c r="L43">
        <f>(Samples_for_P_analysis[[#This Row],[Column11]]*45/1000)/Samples_for_P_analysis[[#This Row],[Column2]]</f>
        <v>7.8046204209202871E-2</v>
      </c>
      <c r="M43" t="s">
        <v>3</v>
      </c>
      <c r="N43" s="88">
        <f>Samples_for_P_analysis[[#This Row],[Column32]]+Samples_for_P_analysis[[#This Row],[Column4]]+Samples_for_P_analysis[[#This Row],[Column42]]+Samples_for_P_analysis[[#This Row],[Column8]]</f>
        <v>0.11160878564242763</v>
      </c>
      <c r="O43">
        <f>Samples_for_P_analysis[[#This Row],[Column9]]*1000</f>
        <v>111.60878564242763</v>
      </c>
    </row>
    <row r="44" spans="1:15">
      <c r="A44" s="5" t="s">
        <v>80</v>
      </c>
      <c r="B44" s="10" t="s">
        <v>81</v>
      </c>
      <c r="C44" s="51">
        <v>9.45212E-2</v>
      </c>
      <c r="D44" s="68">
        <f>(Samples_for_P_analysis[[#This Row],[Column3]]*50/1000)/Samples_for_P_analysis[[#This Row],[Column2]]</f>
        <v>4.0256047700170366E-3</v>
      </c>
      <c r="E44" s="3">
        <v>3.9042091105487202</v>
      </c>
      <c r="F44" s="3"/>
      <c r="G44" s="68"/>
      <c r="H44" s="58">
        <v>0.42687500000000006</v>
      </c>
      <c r="I44" s="81">
        <f>(Samples_for_P_analysis[[#This Row],[Column43]]*50/1000)/Samples_for_P_analysis[[#This Row],[Column2]]</f>
        <v>1.8180366269165252E-2</v>
      </c>
      <c r="J44" s="71">
        <v>1.642557644385753</v>
      </c>
      <c r="K44" s="71">
        <f>Samples_for_P_analysis[[#This Row],[Column5]]-$J$52</f>
        <v>1.3796351485725391</v>
      </c>
      <c r="L44">
        <f>(Samples_for_P_analysis[[#This Row],[Column11]]*45/1000)/Samples_for_P_analysis[[#This Row],[Column2]]</f>
        <v>5.2882096836255756E-2</v>
      </c>
      <c r="M44" t="s">
        <v>3</v>
      </c>
      <c r="N44" s="88">
        <f>Samples_for_P_analysis[[#This Row],[Column32]]+Samples_for_P_analysis[[#This Row],[Column4]]+Samples_for_P_analysis[[#This Row],[Column42]]+Samples_for_P_analysis[[#This Row],[Column8]]</f>
        <v>7.5088067875438036E-2</v>
      </c>
      <c r="O44">
        <f>Samples_for_P_analysis[[#This Row],[Column9]]*1000</f>
        <v>75.088067875438043</v>
      </c>
    </row>
    <row r="45" spans="1:15">
      <c r="A45" s="5" t="s">
        <v>82</v>
      </c>
      <c r="B45" s="10" t="s">
        <v>83</v>
      </c>
      <c r="C45" s="51">
        <v>0.98501039999999984</v>
      </c>
      <c r="D45" s="68">
        <f>(Samples_for_P_analysis[[#This Row],[Column3]]*50/1000)/Samples_for_P_analysis[[#This Row],[Column2]]</f>
        <v>4.7493269045323042E-2</v>
      </c>
      <c r="E45" s="3">
        <v>3.46711288037964</v>
      </c>
      <c r="F45" s="3"/>
      <c r="G45" s="68"/>
      <c r="H45" s="58">
        <v>5.2226749999999997</v>
      </c>
      <c r="I45" s="81">
        <f>(Samples_for_P_analysis[[#This Row],[Column43]]*50/1000)/Samples_for_P_analysis[[#This Row],[Column2]]</f>
        <v>0.25181653809064608</v>
      </c>
      <c r="J45" s="71">
        <v>2.5177855946391268</v>
      </c>
      <c r="K45" s="71">
        <f>Samples_for_P_analysis[[#This Row],[Column5]]-$J$52</f>
        <v>2.2548630988259131</v>
      </c>
      <c r="L45">
        <f>(Samples_for_P_analysis[[#This Row],[Column11]]*45/1000)/Samples_for_P_analysis[[#This Row],[Column2]]</f>
        <v>9.7848446911442719E-2</v>
      </c>
      <c r="M45" t="s">
        <v>3</v>
      </c>
      <c r="N45" s="88">
        <f>Samples_for_P_analysis[[#This Row],[Column32]]+Samples_for_P_analysis[[#This Row],[Column4]]+Samples_for_P_analysis[[#This Row],[Column42]]+Samples_for_P_analysis[[#This Row],[Column8]]</f>
        <v>0.39715825404741184</v>
      </c>
      <c r="O45">
        <f>Samples_for_P_analysis[[#This Row],[Column9]]*1000</f>
        <v>397.15825404741184</v>
      </c>
    </row>
    <row r="46" spans="1:15">
      <c r="A46" s="5" t="s">
        <v>84</v>
      </c>
      <c r="B46" s="10" t="s">
        <v>85</v>
      </c>
      <c r="C46" s="51">
        <v>0.45395050000000003</v>
      </c>
      <c r="D46" s="68">
        <f>(Samples_for_P_analysis[[#This Row],[Column3]]*50/1000)/Samples_for_P_analysis[[#This Row],[Column2]]</f>
        <v>2.1845548604427337E-2</v>
      </c>
      <c r="E46" s="3">
        <v>1.4217994516963699</v>
      </c>
      <c r="F46" s="3"/>
      <c r="G46" s="68"/>
      <c r="H46" s="58">
        <v>7.4070250000000009</v>
      </c>
      <c r="I46" s="81">
        <f>(Samples_for_P_analysis[[#This Row],[Column43]]*50/1000)/Samples_for_P_analysis[[#This Row],[Column2]]</f>
        <v>0.35644971126082781</v>
      </c>
      <c r="J46" s="71">
        <v>6.7072732211270649</v>
      </c>
      <c r="K46" s="71">
        <f>Samples_for_P_analysis[[#This Row],[Column5]]-$J$52</f>
        <v>6.4443507253138508</v>
      </c>
      <c r="L46">
        <f>(Samples_for_P_analysis[[#This Row],[Column11]]*45/1000)/Samples_for_P_analysis[[#This Row],[Column2]]</f>
        <v>0.27911047414737566</v>
      </c>
      <c r="M46" t="s">
        <v>3</v>
      </c>
      <c r="N46" s="88">
        <f>Samples_for_P_analysis[[#This Row],[Column32]]+Samples_for_P_analysis[[#This Row],[Column4]]+Samples_for_P_analysis[[#This Row],[Column42]]+Samples_for_P_analysis[[#This Row],[Column8]]</f>
        <v>0.6574057340126308</v>
      </c>
      <c r="O46">
        <f>Samples_for_P_analysis[[#This Row],[Column9]]*1000</f>
        <v>657.40573401263077</v>
      </c>
    </row>
    <row r="47" spans="1:15">
      <c r="A47" s="5" t="s">
        <v>86</v>
      </c>
      <c r="B47" s="10" t="s">
        <v>87</v>
      </c>
      <c r="C47" s="51">
        <v>0.23630299999999999</v>
      </c>
      <c r="D47" s="68">
        <f>(Samples_for_P_analysis[[#This Row],[Column3]]*50/1000)/Samples_for_P_analysis[[#This Row],[Column2]]</f>
        <v>1.1629084645669292E-2</v>
      </c>
      <c r="E47" s="3">
        <v>1.39202883960227</v>
      </c>
      <c r="F47" s="3"/>
      <c r="G47" s="68"/>
      <c r="H47" s="58">
        <v>1.1360975</v>
      </c>
      <c r="I47" s="81">
        <f>(Samples_for_P_analysis[[#This Row],[Column43]]*50/1000)/Samples_for_P_analysis[[#This Row],[Column2]]</f>
        <v>5.5910310039370074E-2</v>
      </c>
      <c r="J47" s="71">
        <v>4.9744317269868281</v>
      </c>
      <c r="K47" s="71">
        <f>Samples_for_P_analysis[[#This Row],[Column5]]-$J$52</f>
        <v>4.711509231173614</v>
      </c>
      <c r="L47">
        <f>(Samples_for_P_analysis[[#This Row],[Column11]]*45/1000)/Samples_for_P_analysis[[#This Row],[Column2]]</f>
        <v>0.20867905059331954</v>
      </c>
      <c r="M47" t="s">
        <v>3</v>
      </c>
      <c r="N47" s="88">
        <f>Samples_for_P_analysis[[#This Row],[Column32]]+Samples_for_P_analysis[[#This Row],[Column4]]+Samples_for_P_analysis[[#This Row],[Column42]]+Samples_for_P_analysis[[#This Row],[Column8]]</f>
        <v>0.27621844527835893</v>
      </c>
      <c r="O47">
        <f>Samples_for_P_analysis[[#This Row],[Column9]]*1000</f>
        <v>276.2184452783589</v>
      </c>
    </row>
    <row r="48" spans="1:15">
      <c r="A48" s="5" t="s">
        <v>88</v>
      </c>
      <c r="B48" s="10" t="s">
        <v>89</v>
      </c>
      <c r="C48" s="51">
        <v>0.93277500000000002</v>
      </c>
      <c r="D48" s="68">
        <f>(Samples_for_P_analysis[[#This Row],[Column3]]*50/1000)/Samples_for_P_analysis[[#This Row],[Column2]]</f>
        <v>3.6408079625292744E-2</v>
      </c>
      <c r="E48" s="3">
        <v>2.04765224912305</v>
      </c>
      <c r="F48" s="3"/>
      <c r="G48" s="68"/>
      <c r="H48" s="58">
        <v>3.7295750000000005</v>
      </c>
      <c r="I48" s="81">
        <f>(Samples_for_P_analysis[[#This Row],[Column43]]*50/1000)/Samples_for_P_analysis[[#This Row],[Column2]]</f>
        <v>0.14557279469164719</v>
      </c>
      <c r="J48" s="71">
        <v>3.9161498526820835</v>
      </c>
      <c r="K48" s="71">
        <f>Samples_for_P_analysis[[#This Row],[Column5]]-$J$52</f>
        <v>3.6532273568688698</v>
      </c>
      <c r="L48">
        <f>(Samples_for_P_analysis[[#This Row],[Column11]]*45/1000)/Samples_for_P_analysis[[#This Row],[Column2]]</f>
        <v>0.12833351370733737</v>
      </c>
      <c r="M48" t="s">
        <v>3</v>
      </c>
      <c r="N48" s="88">
        <f>Samples_for_P_analysis[[#This Row],[Column32]]+Samples_for_P_analysis[[#This Row],[Column4]]+Samples_for_P_analysis[[#This Row],[Column42]]+Samples_for_P_analysis[[#This Row],[Column8]]</f>
        <v>0.3103143880242773</v>
      </c>
      <c r="O48">
        <f>Samples_for_P_analysis[[#This Row],[Column9]]*1000</f>
        <v>310.31438802427732</v>
      </c>
    </row>
    <row r="49" spans="1:15">
      <c r="A49" s="5" t="s">
        <v>90</v>
      </c>
      <c r="B49" s="10" t="s">
        <v>91</v>
      </c>
      <c r="C49" s="51">
        <v>0.15919359999999999</v>
      </c>
      <c r="D49" s="68">
        <f>(Samples_for_P_analysis[[#This Row],[Column3]]*50/1000)/Samples_for_P_analysis[[#This Row],[Column2]]</f>
        <v>7.1968173598553342E-3</v>
      </c>
      <c r="E49" s="3">
        <v>4.1046298718154697</v>
      </c>
      <c r="F49" s="3"/>
      <c r="G49" s="68"/>
      <c r="H49" s="58">
        <v>1.0379400000000001</v>
      </c>
      <c r="I49" s="81">
        <f>(Samples_for_P_analysis[[#This Row],[Column43]]*50/1000)/Samples_for_P_analysis[[#This Row],[Column2]]</f>
        <v>4.692314647377939E-2</v>
      </c>
      <c r="J49" s="71">
        <v>1.4928650395420384</v>
      </c>
      <c r="K49" s="71">
        <f>Samples_for_P_analysis[[#This Row],[Column5]]-$J$52</f>
        <v>1.2299425437288245</v>
      </c>
      <c r="L49">
        <f>(Samples_for_P_analysis[[#This Row],[Column11]]*45/1000)/Samples_for_P_analysis[[#This Row],[Column2]]</f>
        <v>5.0042870224048012E-2</v>
      </c>
      <c r="M49" t="s">
        <v>3</v>
      </c>
      <c r="N49" s="88">
        <f>Samples_for_P_analysis[[#This Row],[Column32]]+Samples_for_P_analysis[[#This Row],[Column4]]+Samples_for_P_analysis[[#This Row],[Column42]]+Samples_for_P_analysis[[#This Row],[Column8]]</f>
        <v>0.10416283405768273</v>
      </c>
      <c r="O49">
        <f>Samples_for_P_analysis[[#This Row],[Column9]]*1000</f>
        <v>104.16283405768273</v>
      </c>
    </row>
    <row r="50" spans="1:15">
      <c r="A50" s="24" t="s">
        <v>92</v>
      </c>
      <c r="B50" s="25" t="s">
        <v>49</v>
      </c>
      <c r="C50" s="53">
        <v>0.34201749999999997</v>
      </c>
      <c r="D50" s="43">
        <f>(Samples_for_P_analysis[[#This Row],[Column3]]*50/1000)/Samples_for_P_analysis[[#This Row],[Column2]]</f>
        <v>1.6965153769841267E-2</v>
      </c>
      <c r="E50" s="89">
        <v>0.24891390015499301</v>
      </c>
      <c r="F50" s="89"/>
      <c r="G50" s="26"/>
      <c r="H50" s="59">
        <v>1.6272499999999999E-2</v>
      </c>
      <c r="I50" s="83">
        <f>(Samples_for_P_analysis[[#This Row],[Column43]]*50/1000)/Samples_for_P_analysis[[#This Row],[Column2]]</f>
        <v>8.0716765873015866E-4</v>
      </c>
      <c r="J50" s="72">
        <v>11.780431810218049</v>
      </c>
      <c r="K50" s="71">
        <f>Samples_for_P_analysis[[#This Row],[Column5]]-$J$52</f>
        <v>11.517509314404835</v>
      </c>
      <c r="L50">
        <f>(Samples_for_P_analysis[[#This Row],[Column11]]*45/1000)/Samples_for_P_analysis[[#This Row],[Column2]]</f>
        <v>0.51417452296450161</v>
      </c>
      <c r="M50" t="s">
        <v>3</v>
      </c>
      <c r="N50" s="88">
        <f>Samples_for_P_analysis[[#This Row],[Column32]]+Samples_for_P_analysis[[#This Row],[Column4]]+Samples_for_P_analysis[[#This Row],[Column42]]+Samples_for_P_analysis[[#This Row],[Column8]]</f>
        <v>0.53194684439307305</v>
      </c>
      <c r="O50">
        <f>Samples_for_P_analysis[[#This Row],[Column9]]*1000</f>
        <v>531.94684439307309</v>
      </c>
    </row>
    <row r="51" spans="1:15">
      <c r="A51" s="24" t="s">
        <v>93</v>
      </c>
      <c r="B51" s="25" t="s">
        <v>94</v>
      </c>
      <c r="C51" s="53">
        <v>0.3681352</v>
      </c>
      <c r="D51" s="43">
        <f>(Samples_for_P_analysis[[#This Row],[Column3]]*50/1000)/Samples_for_P_analysis[[#This Row],[Column2]]</f>
        <v>1.7496920152091252E-2</v>
      </c>
      <c r="E51" s="89">
        <v>0.25104934490435798</v>
      </c>
      <c r="F51" s="89"/>
      <c r="G51" s="26"/>
      <c r="H51" s="59">
        <v>1.35075E-2</v>
      </c>
      <c r="I51" s="83">
        <f>(Samples_for_P_analysis[[#This Row],[Column43]]*50/1000)/Samples_for_P_analysis[[#This Row],[Column2]]</f>
        <v>6.4199144486692017E-4</v>
      </c>
      <c r="J51" s="72">
        <v>12.023387523331769</v>
      </c>
      <c r="K51" s="71">
        <f>Samples_for_P_analysis[[#This Row],[Column5]]-$J$52</f>
        <v>11.760465027518554</v>
      </c>
      <c r="L51">
        <f>(Samples_for_P_analysis[[#This Row],[Column11]]*45/1000)/Samples_for_P_analysis[[#This Row],[Column2]]</f>
        <v>0.50306171695659208</v>
      </c>
      <c r="M51" t="s">
        <v>3</v>
      </c>
      <c r="N51" s="88">
        <f>Samples_for_P_analysis[[#This Row],[Column32]]+Samples_for_P_analysis[[#This Row],[Column4]]+Samples_for_P_analysis[[#This Row],[Column42]]+Samples_for_P_analysis[[#This Row],[Column8]]</f>
        <v>0.5212006285535502</v>
      </c>
      <c r="O51">
        <f>Samples_for_P_analysis[[#This Row],[Column9]]*1000</f>
        <v>521.20062855355025</v>
      </c>
    </row>
    <row r="52" spans="1:15">
      <c r="A52" s="66" t="s">
        <v>95</v>
      </c>
      <c r="B52" s="28">
        <v>0</v>
      </c>
      <c r="C52" s="20">
        <v>0</v>
      </c>
      <c r="D52" s="44"/>
      <c r="E52" s="44">
        <v>8.0288714878701501</v>
      </c>
      <c r="F52" s="44"/>
      <c r="G52" s="44"/>
      <c r="H52" s="44">
        <v>-3.1749999999999986E-4</v>
      </c>
      <c r="I52" s="84"/>
      <c r="J52" s="44">
        <v>0.26292249581321381</v>
      </c>
      <c r="K52" s="71">
        <f>Samples_for_P_analysis[[#This Row],[Column5]]-$J$52</f>
        <v>0</v>
      </c>
      <c r="L52" s="22"/>
      <c r="M52" t="s">
        <v>3</v>
      </c>
      <c r="N52" s="88">
        <f>Samples_for_P_analysis[[#This Row],[Column32]]+Samples_for_P_analysis[[#This Row],[Column4]]+Samples_for_P_analysis[[#This Row],[Column42]]+Samples_for_P_analysis[[#This Row],[Column8]]</f>
        <v>0</v>
      </c>
      <c r="O52">
        <f>Samples_for_P_analysis[[#This Row],[Column9]]*1000</f>
        <v>0</v>
      </c>
    </row>
    <row r="53" spans="1:15">
      <c r="A53" s="5" t="s">
        <v>96</v>
      </c>
      <c r="B53" s="13">
        <v>1.004</v>
      </c>
      <c r="C53" s="51">
        <v>0.75324859999999993</v>
      </c>
      <c r="D53" s="68">
        <f>(Samples_for_P_analysis[[#This Row],[Column3]]*50/1000)/Samples_for_P_analysis[[#This Row],[Column2]]</f>
        <v>3.7512380478087644E-2</v>
      </c>
      <c r="E53" s="58">
        <v>0.35991515565630799</v>
      </c>
      <c r="G53" s="68">
        <f>(Samples_for_P_analysis[[#This Row],[Column7]]*50/1000)/Samples_for_P_analysis[[#This Row],[Column2]]</f>
        <v>1.7924061536668725E-2</v>
      </c>
      <c r="H53" s="58">
        <v>0.27836250000000007</v>
      </c>
      <c r="I53" s="81">
        <f>(Samples_for_P_analysis[[#This Row],[Column43]]*50/1000)/Samples_for_P_analysis[[#This Row],[Column2]]</f>
        <v>1.3862674302788848E-2</v>
      </c>
      <c r="J53" s="71">
        <v>6.3750719699337379</v>
      </c>
      <c r="L53">
        <f>(Samples_for_P_analysis[[#This Row],[Column5]]*45/1000)/Samples_for_P_analysis[[#This Row],[Column2]]</f>
        <v>0.2857352974571894</v>
      </c>
      <c r="M53" t="s">
        <v>3</v>
      </c>
      <c r="N53" s="88">
        <f>Samples_for_P_analysis[[#This Row],[Column32]]+Samples_for_P_analysis[[#This Row],[Column4]]+Samples_for_P_analysis[[#This Row],[Column42]]+Samples_for_P_analysis[[#This Row],[Column8]]</f>
        <v>0.3550344137747346</v>
      </c>
      <c r="O53">
        <f>Samples_for_P_analysis[[#This Row],[Column9]]*1000</f>
        <v>355.03441377473462</v>
      </c>
    </row>
    <row r="54" spans="1:15">
      <c r="A54" s="5" t="s">
        <v>97</v>
      </c>
      <c r="B54" s="13">
        <v>1</v>
      </c>
      <c r="C54" s="51">
        <v>0.53075879999999998</v>
      </c>
      <c r="D54" s="68">
        <f>(Samples_for_P_analysis[[#This Row],[Column3]]*50/1000)/Samples_for_P_analysis[[#This Row],[Column2]]</f>
        <v>2.6537939999999999E-2</v>
      </c>
      <c r="E54" s="58">
        <v>0.33124516494564299</v>
      </c>
      <c r="G54" s="68">
        <f>(Samples_for_P_analysis[[#This Row],[Column7]]*50/1000)/Samples_for_P_analysis[[#This Row],[Column2]]</f>
        <v>1.6562258247282149E-2</v>
      </c>
      <c r="H54" s="58">
        <v>5.4245000000000002E-2</v>
      </c>
      <c r="I54" s="81">
        <f>(Samples_for_P_analysis[[#This Row],[Column43]]*50/1000)/Samples_for_P_analysis[[#This Row],[Column2]]</f>
        <v>2.7122500000000003E-3</v>
      </c>
      <c r="J54" s="71">
        <v>4.2565141715168133</v>
      </c>
      <c r="L54">
        <f>(Samples_for_P_analysis[[#This Row],[Column5]]*45/1000)/Samples_for_P_analysis[[#This Row],[Column2]]</f>
        <v>0.1915431377182566</v>
      </c>
      <c r="M54" t="s">
        <v>3</v>
      </c>
      <c r="N54" s="88">
        <f>Samples_for_P_analysis[[#This Row],[Column32]]+Samples_for_P_analysis[[#This Row],[Column4]]+Samples_for_P_analysis[[#This Row],[Column42]]+Samples_for_P_analysis[[#This Row],[Column8]]</f>
        <v>0.23735558596553874</v>
      </c>
      <c r="O54">
        <f>Samples_for_P_analysis[[#This Row],[Column9]]*1000</f>
        <v>237.35558596553875</v>
      </c>
    </row>
    <row r="55" spans="1:15">
      <c r="A55" s="5" t="s">
        <v>98</v>
      </c>
      <c r="B55" s="13">
        <v>1.0189999999999999</v>
      </c>
      <c r="C55" s="51">
        <v>1.6675930000000001</v>
      </c>
      <c r="D55" s="68">
        <f>(Samples_for_P_analysis[[#This Row],[Column3]]*50/1000)/Samples_for_P_analysis[[#This Row],[Column2]]</f>
        <v>8.1824975466143285E-2</v>
      </c>
      <c r="E55" s="58">
        <v>0.28329037347320501</v>
      </c>
      <c r="G55" s="68">
        <f>(Samples_for_P_analysis[[#This Row],[Column7]]*50/1000)/Samples_for_P_analysis[[#This Row],[Column2]]</f>
        <v>1.3900410867183761E-2</v>
      </c>
      <c r="H55" s="58">
        <v>7.5816675</v>
      </c>
      <c r="I55" s="81">
        <f>(Samples_for_P_analysis[[#This Row],[Column43]]*50/1000)/Samples_for_P_analysis[[#This Row],[Column2]]</f>
        <v>0.37201508832188424</v>
      </c>
      <c r="J55" s="71">
        <v>5.0887263523488846</v>
      </c>
      <c r="L55">
        <f>(Samples_for_P_analysis[[#This Row],[Column5]]*45/1000)/Samples_for_P_analysis[[#This Row],[Column2]]</f>
        <v>0.2247229498093227</v>
      </c>
      <c r="M55" t="s">
        <v>3</v>
      </c>
      <c r="N55" s="88">
        <f>Samples_for_P_analysis[[#This Row],[Column32]]+Samples_for_P_analysis[[#This Row],[Column4]]+Samples_for_P_analysis[[#This Row],[Column42]]+Samples_for_P_analysis[[#This Row],[Column8]]</f>
        <v>0.69246342446453402</v>
      </c>
      <c r="O55">
        <f>Samples_for_P_analysis[[#This Row],[Column9]]*1000</f>
        <v>692.463424464534</v>
      </c>
    </row>
    <row r="56" spans="1:15">
      <c r="A56" s="5" t="s">
        <v>99</v>
      </c>
      <c r="B56" s="13">
        <v>1</v>
      </c>
      <c r="C56" s="51">
        <v>1.2799864999999999</v>
      </c>
      <c r="D56" s="68">
        <f>(Samples_for_P_analysis[[#This Row],[Column3]]*50/1000)/Samples_for_P_analysis[[#This Row],[Column2]]</f>
        <v>6.3999324999999996E-2</v>
      </c>
      <c r="E56" s="58">
        <v>0.373068777515843</v>
      </c>
      <c r="G56" s="68">
        <f>(Samples_for_P_analysis[[#This Row],[Column7]]*50/1000)/Samples_for_P_analysis[[#This Row],[Column2]]</f>
        <v>1.8653438875792152E-2</v>
      </c>
      <c r="H56" s="58">
        <v>5.2120175</v>
      </c>
      <c r="I56" s="81">
        <f>(Samples_for_P_analysis[[#This Row],[Column43]]*50/1000)/Samples_for_P_analysis[[#This Row],[Column2]]</f>
        <v>0.26060087499999995</v>
      </c>
      <c r="J56" s="71">
        <v>7.4015345874442007</v>
      </c>
      <c r="L56">
        <f>(Samples_for_P_analysis[[#This Row],[Column5]]*45/1000)/Samples_for_P_analysis[[#This Row],[Column2]]</f>
        <v>0.33306905643498902</v>
      </c>
      <c r="M56" t="s">
        <v>3</v>
      </c>
      <c r="N56" s="88">
        <f>Samples_for_P_analysis[[#This Row],[Column32]]+Samples_for_P_analysis[[#This Row],[Column4]]+Samples_for_P_analysis[[#This Row],[Column42]]+Samples_for_P_analysis[[#This Row],[Column8]]</f>
        <v>0.67632269531078104</v>
      </c>
      <c r="O56">
        <f>Samples_for_P_analysis[[#This Row],[Column9]]*1000</f>
        <v>676.322695310781</v>
      </c>
    </row>
    <row r="57" spans="1:15">
      <c r="A57" s="5" t="s">
        <v>100</v>
      </c>
      <c r="B57" s="13">
        <v>1.016</v>
      </c>
      <c r="C57" s="51">
        <v>0.24929580000000004</v>
      </c>
      <c r="D57" s="68">
        <f>(Samples_for_P_analysis[[#This Row],[Column3]]*50/1000)/Samples_for_P_analysis[[#This Row],[Column2]]</f>
        <v>1.2268494094488191E-2</v>
      </c>
      <c r="E57" s="58">
        <v>0.40157726400176602</v>
      </c>
      <c r="G57" s="68">
        <f>(Samples_for_P_analysis[[#This Row],[Column7]]*50/1000)/Samples_for_P_analysis[[#This Row],[Column2]]</f>
        <v>1.9762660630008168E-2</v>
      </c>
      <c r="H57" s="58">
        <v>9.1359999999999997E-2</v>
      </c>
      <c r="I57" s="81">
        <f>(Samples_for_P_analysis[[#This Row],[Column43]]*50/1000)/Samples_for_P_analysis[[#This Row],[Column2]]</f>
        <v>4.4960629921259841E-3</v>
      </c>
      <c r="J57" s="71">
        <v>1.7275257118967369</v>
      </c>
      <c r="L57">
        <f>(Samples_for_P_analysis[[#This Row],[Column5]]*45/1000)/Samples_for_P_analysis[[#This Row],[Column2]]</f>
        <v>7.6514426215898768E-2</v>
      </c>
      <c r="M57" t="s">
        <v>3</v>
      </c>
      <c r="N57" s="88">
        <f>Samples_for_P_analysis[[#This Row],[Column32]]+Samples_for_P_analysis[[#This Row],[Column4]]+Samples_for_P_analysis[[#This Row],[Column42]]+Samples_for_P_analysis[[#This Row],[Column8]]</f>
        <v>0.11304164393252111</v>
      </c>
      <c r="O57">
        <f>Samples_for_P_analysis[[#This Row],[Column9]]*1000</f>
        <v>113.04164393252111</v>
      </c>
    </row>
    <row r="58" spans="1:15">
      <c r="A58" s="5" t="s">
        <v>101</v>
      </c>
      <c r="B58" s="13">
        <v>1.0289999999999999</v>
      </c>
      <c r="C58" s="51">
        <v>0.22517039999999999</v>
      </c>
      <c r="D58" s="68">
        <f>(Samples_for_P_analysis[[#This Row],[Column3]]*50/1000)/Samples_for_P_analysis[[#This Row],[Column2]]</f>
        <v>1.0941224489795918E-2</v>
      </c>
      <c r="E58" s="58">
        <v>0.29292679221613899</v>
      </c>
      <c r="G58" s="68">
        <f>(Samples_for_P_analysis[[#This Row],[Column7]]*50/1000)/Samples_for_P_analysis[[#This Row],[Column2]]</f>
        <v>1.4233566191260399E-2</v>
      </c>
      <c r="H58" s="58">
        <v>0.58527499999999999</v>
      </c>
      <c r="I58" s="81">
        <f>(Samples_for_P_analysis[[#This Row],[Column43]]*50/1000)/Samples_for_P_analysis[[#This Row],[Column2]]</f>
        <v>2.8439018464528669E-2</v>
      </c>
      <c r="J58" s="71">
        <v>2.4552712878157315</v>
      </c>
      <c r="L58">
        <f>(Samples_for_P_analysis[[#This Row],[Column5]]*45/1000)/Samples_for_P_analysis[[#This Row],[Column2]]</f>
        <v>0.10737337993363258</v>
      </c>
      <c r="M58" t="s">
        <v>3</v>
      </c>
      <c r="N58" s="88">
        <f>Samples_for_P_analysis[[#This Row],[Column32]]+Samples_for_P_analysis[[#This Row],[Column4]]+Samples_for_P_analysis[[#This Row],[Column42]]+Samples_for_P_analysis[[#This Row],[Column8]]</f>
        <v>0.16098718907921755</v>
      </c>
      <c r="O58">
        <f>Samples_for_P_analysis[[#This Row],[Column9]]*1000</f>
        <v>160.98718907921756</v>
      </c>
    </row>
    <row r="59" spans="1:15">
      <c r="A59" s="5" t="s">
        <v>102</v>
      </c>
      <c r="B59" s="13">
        <v>1.012</v>
      </c>
      <c r="C59" s="51">
        <v>0.35920040000000003</v>
      </c>
      <c r="D59" s="68">
        <f>(Samples_for_P_analysis[[#This Row],[Column3]]*50/1000)/Samples_for_P_analysis[[#This Row],[Column2]]</f>
        <v>1.7747055335968379E-2</v>
      </c>
      <c r="E59" s="58">
        <v>0.19778285892929701</v>
      </c>
      <c r="G59" s="68">
        <f>(Samples_for_P_analysis[[#This Row],[Column7]]*50/1000)/Samples_for_P_analysis[[#This Row],[Column2]]</f>
        <v>9.7718803818822638E-3</v>
      </c>
      <c r="H59" s="58">
        <v>0.40683750000000002</v>
      </c>
      <c r="I59" s="81">
        <f>(Samples_for_P_analysis[[#This Row],[Column43]]*50/1000)/Samples_for_P_analysis[[#This Row],[Column2]]</f>
        <v>2.0100666996047432E-2</v>
      </c>
      <c r="J59" s="71">
        <v>3.6596869203935651</v>
      </c>
      <c r="L59">
        <f>(Samples_for_P_analysis[[#This Row],[Column5]]*45/1000)/Samples_for_P_analysis[[#This Row],[Column2]]</f>
        <v>0.162733114049121</v>
      </c>
      <c r="M59" t="s">
        <v>3</v>
      </c>
      <c r="N59" s="88">
        <f>Samples_for_P_analysis[[#This Row],[Column32]]+Samples_for_P_analysis[[#This Row],[Column4]]+Samples_for_P_analysis[[#This Row],[Column42]]+Samples_for_P_analysis[[#This Row],[Column8]]</f>
        <v>0.21035271676301909</v>
      </c>
      <c r="O59">
        <f>Samples_for_P_analysis[[#This Row],[Column9]]*1000</f>
        <v>210.35271676301909</v>
      </c>
    </row>
    <row r="60" spans="1:15">
      <c r="A60" s="5" t="s">
        <v>103</v>
      </c>
      <c r="B60" s="13">
        <v>1</v>
      </c>
      <c r="C60" s="51">
        <v>0.16887780000000002</v>
      </c>
      <c r="D60" s="68">
        <f>(Samples_for_P_analysis[[#This Row],[Column3]]*50/1000)/Samples_for_P_analysis[[#This Row],[Column2]]</f>
        <v>8.4438900000000008E-3</v>
      </c>
      <c r="E60" s="58">
        <v>0.10958958894431101</v>
      </c>
      <c r="G60" s="68">
        <f>(Samples_for_P_analysis[[#This Row],[Column7]]*50/1000)/Samples_for_P_analysis[[#This Row],[Column2]]</f>
        <v>5.47947944721555E-3</v>
      </c>
      <c r="H60" s="58">
        <v>6.5664999999999987E-2</v>
      </c>
      <c r="I60" s="81">
        <f>(Samples_for_P_analysis[[#This Row],[Column43]]*50/1000)/Samples_for_P_analysis[[#This Row],[Column2]]</f>
        <v>3.2832499999999993E-3</v>
      </c>
      <c r="J60" s="71">
        <v>1.2828723047069017</v>
      </c>
      <c r="L60">
        <f>(Samples_for_P_analysis[[#This Row],[Column5]]*45/1000)/Samples_for_P_analysis[[#This Row],[Column2]]</f>
        <v>5.7729253711810577E-2</v>
      </c>
      <c r="M60" t="s">
        <v>3</v>
      </c>
      <c r="N60" s="88">
        <f>Samples_for_P_analysis[[#This Row],[Column32]]+Samples_for_P_analysis[[#This Row],[Column4]]+Samples_for_P_analysis[[#This Row],[Column42]]+Samples_for_P_analysis[[#This Row],[Column8]]</f>
        <v>7.4935873159026126E-2</v>
      </c>
      <c r="O60">
        <f>Samples_for_P_analysis[[#This Row],[Column9]]*1000</f>
        <v>74.93587315902613</v>
      </c>
    </row>
    <row r="61" spans="1:15">
      <c r="A61" s="5" t="s">
        <v>104</v>
      </c>
      <c r="B61" s="13">
        <v>1.0009999999999999</v>
      </c>
      <c r="C61" s="51">
        <v>0.24795550000000002</v>
      </c>
      <c r="D61" s="68">
        <f>(Samples_for_P_analysis[[#This Row],[Column3]]*50/1000)/Samples_for_P_analysis[[#This Row],[Column2]]</f>
        <v>1.2385389610389614E-2</v>
      </c>
      <c r="E61" s="58">
        <v>0.142979092000211</v>
      </c>
      <c r="G61" s="68">
        <f>(Samples_for_P_analysis[[#This Row],[Column7]]*50/1000)/Samples_for_P_analysis[[#This Row],[Column2]]</f>
        <v>7.1418127872233282E-3</v>
      </c>
      <c r="H61" s="58">
        <v>4.42525E-2</v>
      </c>
      <c r="I61" s="81">
        <f>(Samples_for_P_analysis[[#This Row],[Column43]]*50/1000)/Samples_for_P_analysis[[#This Row],[Column2]]</f>
        <v>2.2104145854145857E-3</v>
      </c>
      <c r="J61" s="71">
        <v>1.3389642424393766</v>
      </c>
      <c r="L61">
        <f>(Samples_for_P_analysis[[#This Row],[Column5]]*45/1000)/Samples_for_P_analysis[[#This Row],[Column2]]</f>
        <v>6.0193197712059887E-2</v>
      </c>
      <c r="M61" t="s">
        <v>3</v>
      </c>
      <c r="N61" s="88">
        <f>Samples_for_P_analysis[[#This Row],[Column32]]+Samples_for_P_analysis[[#This Row],[Column4]]+Samples_for_P_analysis[[#This Row],[Column42]]+Samples_for_P_analysis[[#This Row],[Column8]]</f>
        <v>8.1930814695087423E-2</v>
      </c>
      <c r="O61">
        <f>Samples_for_P_analysis[[#This Row],[Column9]]*1000</f>
        <v>81.93081469508742</v>
      </c>
    </row>
    <row r="62" spans="1:15">
      <c r="A62" s="5" t="s">
        <v>105</v>
      </c>
      <c r="B62" s="13">
        <v>1.008</v>
      </c>
      <c r="C62" s="51">
        <v>0.201045</v>
      </c>
      <c r="D62" s="68">
        <f>(Samples_for_P_analysis[[#This Row],[Column3]]*50/1000)/Samples_for_P_analysis[[#This Row],[Column2]]</f>
        <v>9.9724702380952386E-3</v>
      </c>
      <c r="E62" s="58">
        <v>0.14873342771138601</v>
      </c>
      <c r="G62" s="68">
        <f>(Samples_for_P_analysis[[#This Row],[Column7]]*50/1000)/Samples_for_P_analysis[[#This Row],[Column2]]</f>
        <v>7.3776501840965283E-3</v>
      </c>
      <c r="I62" s="81"/>
      <c r="J62" s="71">
        <v>1.3563575300032282</v>
      </c>
      <c r="L62">
        <f>(Samples_for_P_analysis[[#This Row],[Column5]]*45/1000)/Samples_for_P_analysis[[#This Row],[Column2]]</f>
        <v>6.0551675446572688E-2</v>
      </c>
      <c r="M62" t="s">
        <v>3</v>
      </c>
      <c r="N62" s="88">
        <f>Samples_for_P_analysis[[#This Row],[Column32]]+Samples_for_P_analysis[[#This Row],[Column4]]+Samples_for_P_analysis[[#This Row],[Column42]]+Samples_for_P_analysis[[#This Row],[Column8]]</f>
        <v>7.7901795868764459E-2</v>
      </c>
      <c r="O62">
        <f>Samples_for_P_analysis[[#This Row],[Column9]]*1000</f>
        <v>77.901795868764452</v>
      </c>
    </row>
    <row r="63" spans="1:15">
      <c r="A63" s="5" t="s">
        <v>106</v>
      </c>
      <c r="B63" s="13">
        <v>1.0089999999999999</v>
      </c>
      <c r="C63" s="51">
        <v>0.13134940000000001</v>
      </c>
      <c r="D63" s="68">
        <f>(Samples_for_P_analysis[[#This Row],[Column3]]*50/1000)/Samples_for_P_analysis[[#This Row],[Column2]]</f>
        <v>6.5088899900891976E-3</v>
      </c>
      <c r="E63" s="58">
        <v>0.137655434221682</v>
      </c>
      <c r="G63" s="68">
        <f>(Samples_for_P_analysis[[#This Row],[Column7]]*50/1000)/Samples_for_P_analysis[[#This Row],[Column2]]</f>
        <v>6.8213792974074336E-3</v>
      </c>
      <c r="H63" s="58">
        <v>5.7099999999999998E-3</v>
      </c>
      <c r="I63" s="81">
        <f>(Samples_for_P_analysis[[#This Row],[Column43]]*50/1000)/Samples_for_P_analysis[[#This Row],[Column2]]</f>
        <v>2.8295341922695742E-4</v>
      </c>
      <c r="J63" s="71">
        <v>1.9758968264884433</v>
      </c>
      <c r="L63">
        <f>(Samples_for_P_analysis[[#This Row],[Column5]]*45/1000)/Samples_for_P_analysis[[#This Row],[Column2]]</f>
        <v>8.8122256880059424E-2</v>
      </c>
      <c r="M63" t="s">
        <v>3</v>
      </c>
      <c r="N63" s="88">
        <f>Samples_for_P_analysis[[#This Row],[Column32]]+Samples_for_P_analysis[[#This Row],[Column4]]+Samples_for_P_analysis[[#This Row],[Column42]]+Samples_for_P_analysis[[#This Row],[Column8]]</f>
        <v>0.10173547958678301</v>
      </c>
      <c r="O63">
        <f>Samples_for_P_analysis[[#This Row],[Column9]]*1000</f>
        <v>101.73547958678301</v>
      </c>
    </row>
    <row r="64" spans="1:15">
      <c r="A64" s="5" t="s">
        <v>107</v>
      </c>
      <c r="B64" s="13">
        <v>1.0069999999999999</v>
      </c>
      <c r="C64" s="51">
        <v>0.26806000000000002</v>
      </c>
      <c r="D64" s="68">
        <f>(Samples_for_P_analysis[[#This Row],[Column3]]*50/1000)/Samples_for_P_analysis[[#This Row],[Column2]]</f>
        <v>1.3309831181727906E-2</v>
      </c>
      <c r="E64" s="58">
        <v>0.29738311249142402</v>
      </c>
      <c r="G64" s="68">
        <f>(Samples_for_P_analysis[[#This Row],[Column7]]*50/1000)/Samples_for_P_analysis[[#This Row],[Column2]]</f>
        <v>1.4765795059157103E-2</v>
      </c>
      <c r="H64" s="58">
        <v>8.5649999999999997E-3</v>
      </c>
      <c r="I64" s="81">
        <f>(Samples_for_P_analysis[[#This Row],[Column43]]*50/1000)/Samples_for_P_analysis[[#This Row],[Column2]]</f>
        <v>4.2527308838133073E-4</v>
      </c>
      <c r="J64" s="71">
        <v>2.5799893801163232</v>
      </c>
      <c r="L64">
        <f>(Samples_for_P_analysis[[#This Row],[Column5]]*45/1000)/Samples_for_P_analysis[[#This Row],[Column2]]</f>
        <v>0.11529247478176222</v>
      </c>
      <c r="M64" t="s">
        <v>3</v>
      </c>
      <c r="N64" s="88">
        <f>Samples_for_P_analysis[[#This Row],[Column32]]+Samples_for_P_analysis[[#This Row],[Column4]]+Samples_for_P_analysis[[#This Row],[Column42]]+Samples_for_P_analysis[[#This Row],[Column8]]</f>
        <v>0.14379337411102855</v>
      </c>
      <c r="O64">
        <f>Samples_for_P_analysis[[#This Row],[Column9]]*1000</f>
        <v>143.79337411102856</v>
      </c>
    </row>
    <row r="65" spans="1:15">
      <c r="A65" s="5" t="s">
        <v>108</v>
      </c>
      <c r="B65" s="13">
        <v>1.0629999999999999</v>
      </c>
      <c r="C65" s="51">
        <v>0.31497049999999999</v>
      </c>
      <c r="D65" s="68">
        <f>(Samples_for_P_analysis[[#This Row],[Column3]]*50/1000)/Samples_for_P_analysis[[#This Row],[Column2]]</f>
        <v>1.4815169332079022E-2</v>
      </c>
      <c r="E65" s="58">
        <v>0.40709831583275702</v>
      </c>
      <c r="G65" s="68">
        <f>(Samples_for_P_analysis[[#This Row],[Column7]]*50/1000)/Samples_for_P_analysis[[#This Row],[Column2]]</f>
        <v>1.9148556718379915E-2</v>
      </c>
      <c r="H65" s="58">
        <v>3.1405000000000002E-2</v>
      </c>
      <c r="I65" s="81">
        <f>(Samples_for_P_analysis[[#This Row],[Column43]]*50/1000)/Samples_for_P_analysis[[#This Row],[Column2]]</f>
        <v>1.4771872060206964E-3</v>
      </c>
      <c r="J65" s="71">
        <v>0.97244959869256498</v>
      </c>
      <c r="L65">
        <f>(Samples_for_P_analysis[[#This Row],[Column5]]*45/1000)/Samples_for_P_analysis[[#This Row],[Column2]]</f>
        <v>4.1166728072592119E-2</v>
      </c>
      <c r="M65" t="s">
        <v>3</v>
      </c>
      <c r="N65" s="88">
        <f>Samples_for_P_analysis[[#This Row],[Column32]]+Samples_for_P_analysis[[#This Row],[Column4]]+Samples_for_P_analysis[[#This Row],[Column42]]+Samples_for_P_analysis[[#This Row],[Column8]]</f>
        <v>7.6607641329071746E-2</v>
      </c>
      <c r="O65">
        <f>Samples_for_P_analysis[[#This Row],[Column9]]*1000</f>
        <v>76.60764132907174</v>
      </c>
    </row>
    <row r="66" spans="1:15">
      <c r="A66" s="5" t="s">
        <v>109</v>
      </c>
      <c r="B66" s="13">
        <v>1.0189999999999999</v>
      </c>
      <c r="C66" s="51">
        <v>1.426339</v>
      </c>
      <c r="D66" s="68">
        <f>(Samples_for_P_analysis[[#This Row],[Column3]]*50/1000)/Samples_for_P_analysis[[#This Row],[Column2]]</f>
        <v>6.9987193326790986E-2</v>
      </c>
      <c r="E66" s="58">
        <v>0.72863528238002695</v>
      </c>
      <c r="G66" s="68">
        <f>(Samples_for_P_analysis[[#This Row],[Column7]]*50/1000)/Samples_for_P_analysis[[#This Row],[Column2]]</f>
        <v>3.5752467241414475E-2</v>
      </c>
      <c r="H66" s="58">
        <v>0.39256250000000009</v>
      </c>
      <c r="I66" s="81">
        <f>(Samples_for_P_analysis[[#This Row],[Column43]]*50/1000)/Samples_for_P_analysis[[#This Row],[Column2]]</f>
        <v>1.9262144259077532E-2</v>
      </c>
      <c r="J66" s="71">
        <v>2.30417447338281</v>
      </c>
      <c r="L66">
        <f>(Samples_for_P_analysis[[#This Row],[Column5]]*45/1000)/Samples_for_P_analysis[[#This Row],[Column2]]</f>
        <v>0.1017545155075824</v>
      </c>
      <c r="M66" t="s">
        <v>3</v>
      </c>
      <c r="N66" s="88">
        <f>Samples_for_P_analysis[[#This Row],[Column32]]+Samples_for_P_analysis[[#This Row],[Column4]]+Samples_for_P_analysis[[#This Row],[Column42]]+Samples_for_P_analysis[[#This Row],[Column8]]</f>
        <v>0.22675632033486542</v>
      </c>
      <c r="O66">
        <f>Samples_for_P_analysis[[#This Row],[Column9]]*1000</f>
        <v>226.75632033486542</v>
      </c>
    </row>
    <row r="67" spans="1:15">
      <c r="A67" s="5" t="s">
        <v>110</v>
      </c>
      <c r="B67" s="13">
        <v>1.0149999999999999</v>
      </c>
      <c r="C67" s="51">
        <v>0.62726039999999994</v>
      </c>
      <c r="D67" s="68">
        <f>(Samples_for_P_analysis[[#This Row],[Column3]]*50/1000)/Samples_for_P_analysis[[#This Row],[Column2]]</f>
        <v>3.0899527093596061E-2</v>
      </c>
      <c r="E67" s="58">
        <v>0.46986962451577702</v>
      </c>
      <c r="G67" s="68">
        <f>(Samples_for_P_analysis[[#This Row],[Column7]]*50/1000)/Samples_for_P_analysis[[#This Row],[Column2]]</f>
        <v>2.3146286921959462E-2</v>
      </c>
      <c r="H67" s="58">
        <v>2.1000674999999998</v>
      </c>
      <c r="I67" s="81">
        <f>(Samples_for_P_analysis[[#This Row],[Column43]]*50/1000)/Samples_for_P_analysis[[#This Row],[Column2]]</f>
        <v>0.10345160098522169</v>
      </c>
      <c r="J67" s="71">
        <v>3.2180452749974804</v>
      </c>
      <c r="L67">
        <f>(Samples_for_P_analysis[[#This Row],[Column5]]*45/1000)/Samples_for_P_analysis[[#This Row],[Column2]]</f>
        <v>0.14267195800481441</v>
      </c>
      <c r="M67" t="s">
        <v>3</v>
      </c>
      <c r="N67" s="88">
        <f>Samples_for_P_analysis[[#This Row],[Column32]]+Samples_for_P_analysis[[#This Row],[Column4]]+Samples_for_P_analysis[[#This Row],[Column42]]+Samples_for_P_analysis[[#This Row],[Column8]]</f>
        <v>0.30016937300559166</v>
      </c>
      <c r="O67">
        <f>Samples_for_P_analysis[[#This Row],[Column9]]*1000</f>
        <v>300.16937300559164</v>
      </c>
    </row>
    <row r="68" spans="1:15">
      <c r="A68" s="5" t="s">
        <v>111</v>
      </c>
      <c r="B68" s="13">
        <v>1.0009999999999999</v>
      </c>
      <c r="C68" s="51">
        <v>0.53880059999999996</v>
      </c>
      <c r="D68" s="68">
        <f>(Samples_for_P_analysis[[#This Row],[Column3]]*50/1000)/Samples_for_P_analysis[[#This Row],[Column2]]</f>
        <v>2.6913116883116883E-2</v>
      </c>
      <c r="E68" s="58">
        <v>0.141142729148516</v>
      </c>
      <c r="G68" s="68">
        <f>(Samples_for_P_analysis[[#This Row],[Column7]]*50/1000)/Samples_for_P_analysis[[#This Row],[Column2]]</f>
        <v>7.0500863710547456E-3</v>
      </c>
      <c r="H68" s="58">
        <v>0.25695000000000001</v>
      </c>
      <c r="I68" s="81">
        <f>(Samples_for_P_analysis[[#This Row],[Column43]]*50/1000)/Samples_for_P_analysis[[#This Row],[Column2]]</f>
        <v>1.2834665334665336E-2</v>
      </c>
      <c r="J68" s="71">
        <v>2.8704775463881798</v>
      </c>
      <c r="L68">
        <f>(Samples_for_P_analysis[[#This Row],[Column5]]*45/1000)/Samples_for_P_analysis[[#This Row],[Column2]]</f>
        <v>0.12904244714032778</v>
      </c>
      <c r="M68" t="s">
        <v>3</v>
      </c>
      <c r="N68" s="88">
        <f>Samples_for_P_analysis[[#This Row],[Column32]]+Samples_for_P_analysis[[#This Row],[Column4]]+Samples_for_P_analysis[[#This Row],[Column42]]+Samples_for_P_analysis[[#This Row],[Column8]]</f>
        <v>0.17584031572916475</v>
      </c>
      <c r="O68">
        <f>Samples_for_P_analysis[[#This Row],[Column9]]*1000</f>
        <v>175.84031572916476</v>
      </c>
    </row>
    <row r="69" spans="1:15">
      <c r="A69" s="5" t="s">
        <v>112</v>
      </c>
      <c r="B69" s="13">
        <v>1.006</v>
      </c>
      <c r="C69" s="51">
        <v>0.42755570000000004</v>
      </c>
      <c r="D69" s="68">
        <f>(Samples_for_P_analysis[[#This Row],[Column3]]*50/1000)/Samples_for_P_analysis[[#This Row],[Column2]]</f>
        <v>2.1250283300198812E-2</v>
      </c>
      <c r="E69" s="58">
        <v>0.17991570636248</v>
      </c>
      <c r="G69" s="68">
        <f>(Samples_for_P_analysis[[#This Row],[Column7]]*50/1000)/Samples_for_P_analysis[[#This Row],[Column2]]</f>
        <v>8.9421325229860835E-3</v>
      </c>
      <c r="H69" s="58">
        <v>4.2824999999999998E-3</v>
      </c>
      <c r="I69" s="81">
        <f>(Samples_for_P_analysis[[#This Row],[Column43]]*50/1000)/Samples_for_P_analysis[[#This Row],[Column2]]</f>
        <v>2.1284791252485088E-4</v>
      </c>
      <c r="J69" s="71">
        <v>0.82457498556573172</v>
      </c>
      <c r="L69">
        <f>(Samples_for_P_analysis[[#This Row],[Column5]]*45/1000)/Samples_for_P_analysis[[#This Row],[Column2]]</f>
        <v>3.6884566948765331E-2</v>
      </c>
      <c r="M69" t="s">
        <v>3</v>
      </c>
      <c r="N69" s="88">
        <f>Samples_for_P_analysis[[#This Row],[Column32]]+Samples_for_P_analysis[[#This Row],[Column4]]+Samples_for_P_analysis[[#This Row],[Column42]]+Samples_for_P_analysis[[#This Row],[Column8]]</f>
        <v>6.7289830684475083E-2</v>
      </c>
      <c r="O69">
        <f>Samples_for_P_analysis[[#This Row],[Column9]]*1000</f>
        <v>67.289830684475078</v>
      </c>
    </row>
    <row r="70" spans="1:15">
      <c r="A70" s="5" t="s">
        <v>113</v>
      </c>
      <c r="B70" s="13">
        <v>1.008</v>
      </c>
      <c r="C70" s="51">
        <v>0.12732850000000001</v>
      </c>
      <c r="D70" s="68">
        <f>(Samples_for_P_analysis[[#This Row],[Column3]]*50/1000)/Samples_for_P_analysis[[#This Row],[Column2]]</f>
        <v>6.3158978174603173E-3</v>
      </c>
      <c r="E70" s="58">
        <v>9.2739314829572997E-2</v>
      </c>
      <c r="G70" s="68">
        <f>(Samples_for_P_analysis[[#This Row],[Column7]]*50/1000)/Samples_for_P_analysis[[#This Row],[Column2]]</f>
        <v>4.6001644260700893E-3</v>
      </c>
      <c r="H70" s="58">
        <v>1.8557500000000001E-2</v>
      </c>
      <c r="I70" s="81">
        <f>(Samples_for_P_analysis[[#This Row],[Column43]]*50/1000)/Samples_for_P_analysis[[#This Row],[Column2]]</f>
        <v>9.2051091269841265E-4</v>
      </c>
      <c r="J70" s="71">
        <v>1.0932859047224517</v>
      </c>
      <c r="L70">
        <f>(Samples_for_P_analysis[[#This Row],[Column5]]*45/1000)/Samples_for_P_analysis[[#This Row],[Column2]]</f>
        <v>4.8807406460823738E-2</v>
      </c>
      <c r="M70" t="s">
        <v>3</v>
      </c>
      <c r="N70" s="88">
        <f>Samples_for_P_analysis[[#This Row],[Column32]]+Samples_for_P_analysis[[#This Row],[Column4]]+Samples_for_P_analysis[[#This Row],[Column42]]+Samples_for_P_analysis[[#This Row],[Column8]]</f>
        <v>6.0643979617052556E-2</v>
      </c>
      <c r="O70">
        <f>Samples_for_P_analysis[[#This Row],[Column9]]*1000</f>
        <v>60.643979617052558</v>
      </c>
    </row>
    <row r="71" spans="1:15">
      <c r="A71" s="5" t="s">
        <v>114</v>
      </c>
      <c r="B71" s="13">
        <v>1.0429999999999999</v>
      </c>
      <c r="C71" s="51">
        <v>0.82428449999999998</v>
      </c>
      <c r="D71" s="68">
        <f>(Samples_for_P_analysis[[#This Row],[Column3]]*50/1000)/Samples_for_P_analysis[[#This Row],[Column2]]</f>
        <v>3.9515076701821673E-2</v>
      </c>
      <c r="E71" s="58">
        <v>0.50857082207430004</v>
      </c>
      <c r="G71" s="68">
        <f>(Samples_for_P_analysis[[#This Row],[Column7]]*50/1000)/Samples_for_P_analysis[[#This Row],[Column2]]</f>
        <v>2.4380192812766061E-2</v>
      </c>
      <c r="H71" s="58">
        <v>1.184825</v>
      </c>
      <c r="I71" s="81">
        <f>(Samples_for_P_analysis[[#This Row],[Column43]]*50/1000)/Samples_for_P_analysis[[#This Row],[Column2]]</f>
        <v>5.6798897411313526E-2</v>
      </c>
      <c r="J71" s="71">
        <v>2.4191340467814397</v>
      </c>
      <c r="L71">
        <f>(Samples_for_P_analysis[[#This Row],[Column5]]*45/1000)/Samples_for_P_analysis[[#This Row],[Column2]]</f>
        <v>0.10437299338941973</v>
      </c>
      <c r="M71" t="s">
        <v>3</v>
      </c>
      <c r="N71" s="88">
        <f>Samples_for_P_analysis[[#This Row],[Column32]]+Samples_for_P_analysis[[#This Row],[Column4]]+Samples_for_P_analysis[[#This Row],[Column42]]+Samples_for_P_analysis[[#This Row],[Column8]]</f>
        <v>0.22506716031532098</v>
      </c>
      <c r="O71">
        <f>Samples_for_P_analysis[[#This Row],[Column9]]*1000</f>
        <v>225.06716031532099</v>
      </c>
    </row>
    <row r="72" spans="1:15">
      <c r="A72" s="5" t="s">
        <v>115</v>
      </c>
      <c r="B72" s="13">
        <v>1.07</v>
      </c>
      <c r="C72" s="51">
        <v>0.1809405</v>
      </c>
      <c r="D72" s="68">
        <f>(Samples_for_P_analysis[[#This Row],[Column3]]*50/1000)/Samples_for_P_analysis[[#This Row],[Column2]]</f>
        <v>8.4551635514018685E-3</v>
      </c>
      <c r="E72" s="58">
        <v>0.21692410038019</v>
      </c>
      <c r="G72" s="68">
        <f>(Samples_for_P_analysis[[#This Row],[Column7]]*50/1000)/Samples_for_P_analysis[[#This Row],[Column2]]</f>
        <v>1.0136640204681776E-2</v>
      </c>
      <c r="H72" s="58">
        <v>0.14988750000000001</v>
      </c>
      <c r="I72" s="81">
        <f>(Samples_for_P_analysis[[#This Row],[Column43]]*50/1000)/Samples_for_P_analysis[[#This Row],[Column2]]</f>
        <v>7.0040887850467293E-3</v>
      </c>
      <c r="J72" s="71">
        <v>1.34575010449833</v>
      </c>
      <c r="L72">
        <f>(Samples_for_P_analysis[[#This Row],[Column5]]*45/1000)/Samples_for_P_analysis[[#This Row],[Column2]]</f>
        <v>5.6596967011612001E-2</v>
      </c>
      <c r="M72" t="s">
        <v>3</v>
      </c>
      <c r="N72" s="88">
        <f>Samples_for_P_analysis[[#This Row],[Column32]]+Samples_for_P_analysis[[#This Row],[Column4]]+Samples_for_P_analysis[[#This Row],[Column42]]+Samples_for_P_analysis[[#This Row],[Column8]]</f>
        <v>8.2192859552742373E-2</v>
      </c>
      <c r="O72">
        <f>Samples_for_P_analysis[[#This Row],[Column9]]*1000</f>
        <v>82.192859552742377</v>
      </c>
    </row>
    <row r="73" spans="1:15">
      <c r="A73" s="5" t="s">
        <v>116</v>
      </c>
      <c r="B73" s="13">
        <v>1.0229999999999999</v>
      </c>
      <c r="C73" s="51">
        <v>0.1353703</v>
      </c>
      <c r="D73" s="68">
        <f>(Samples_for_P_analysis[[#This Row],[Column3]]*50/1000)/Samples_for_P_analysis[[#This Row],[Column2]]</f>
        <v>6.6163391984359731E-3</v>
      </c>
      <c r="E73" s="58">
        <v>0.102363770296599</v>
      </c>
      <c r="G73" s="68">
        <f>(Samples_for_P_analysis[[#This Row],[Column7]]*50/1000)/Samples_for_P_analysis[[#This Row],[Column2]]</f>
        <v>5.0031168277907632E-3</v>
      </c>
      <c r="H73" s="58">
        <v>1.4274999999999999E-3</v>
      </c>
      <c r="I73" s="81">
        <f>(Samples_for_P_analysis[[#This Row],[Column43]]*50/1000)/Samples_for_P_analysis[[#This Row],[Column2]]</f>
        <v>6.9770283479960905E-5</v>
      </c>
      <c r="J73" s="71">
        <v>1.1231784154498028</v>
      </c>
      <c r="L73">
        <f>(Samples_for_P_analysis[[#This Row],[Column5]]*45/1000)/Samples_for_P_analysis[[#This Row],[Column2]]</f>
        <v>4.9406675166413616E-2</v>
      </c>
      <c r="M73" t="s">
        <v>3</v>
      </c>
      <c r="N73" s="88">
        <f>Samples_for_P_analysis[[#This Row],[Column32]]+Samples_for_P_analysis[[#This Row],[Column4]]+Samples_for_P_analysis[[#This Row],[Column42]]+Samples_for_P_analysis[[#This Row],[Column8]]</f>
        <v>6.1095901476120311E-2</v>
      </c>
      <c r="O73">
        <f>Samples_for_P_analysis[[#This Row],[Column9]]*1000</f>
        <v>61.095901476120311</v>
      </c>
    </row>
    <row r="74" spans="1:15">
      <c r="A74" s="5" t="s">
        <v>117</v>
      </c>
      <c r="B74" s="13">
        <v>1.0980000000000001</v>
      </c>
      <c r="C74" s="51">
        <v>0.11392550000000001</v>
      </c>
      <c r="D74" s="68">
        <f>(Samples_for_P_analysis[[#This Row],[Column3]]*50/1000)/Samples_for_P_analysis[[#This Row],[Column2]]</f>
        <v>5.1878642987249549E-3</v>
      </c>
      <c r="E74" s="58">
        <v>0.115864327157432</v>
      </c>
      <c r="G74" s="68">
        <f>(Samples_for_P_analysis[[#This Row],[Column7]]*50/1000)/Samples_for_P_analysis[[#This Row],[Column2]]</f>
        <v>5.2761533313948989E-3</v>
      </c>
      <c r="H74" s="58">
        <v>1.4274999999999999E-3</v>
      </c>
      <c r="I74" s="81">
        <f>(Samples_for_P_analysis[[#This Row],[Column43]]*50/1000)/Samples_for_P_analysis[[#This Row],[Column2]]</f>
        <v>6.5004553734061929E-5</v>
      </c>
      <c r="J74" s="71">
        <v>0.80557354886394839</v>
      </c>
      <c r="L74">
        <f>(Samples_for_P_analysis[[#This Row],[Column5]]*45/1000)/Samples_for_P_analysis[[#This Row],[Column2]]</f>
        <v>3.301530937967001E-2</v>
      </c>
      <c r="M74" t="s">
        <v>3</v>
      </c>
      <c r="N74" s="88">
        <f>Samples_for_P_analysis[[#This Row],[Column32]]+Samples_for_P_analysis[[#This Row],[Column4]]+Samples_for_P_analysis[[#This Row],[Column42]]+Samples_for_P_analysis[[#This Row],[Column8]]</f>
        <v>4.3544331563523928E-2</v>
      </c>
      <c r="O74">
        <f>Samples_for_P_analysis[[#This Row],[Column9]]*1000</f>
        <v>43.544331563523926</v>
      </c>
    </row>
    <row r="75" spans="1:15">
      <c r="A75" s="24" t="s">
        <v>270</v>
      </c>
      <c r="B75" s="27">
        <v>1.006</v>
      </c>
      <c r="C75" s="53">
        <v>0.39538850000000003</v>
      </c>
      <c r="D75" s="43">
        <f>(Samples_for_P_analysis[[#This Row],[Column3]]*50/1000)/Samples_for_P_analysis[[#This Row],[Column2]]</f>
        <v>1.9651515904572564E-2</v>
      </c>
      <c r="E75" s="59">
        <v>4.13749897236943E-2</v>
      </c>
      <c r="F75" s="59"/>
      <c r="G75" s="26">
        <f>(Samples_for_P_analysis[[#This Row],[Column7]]*50/1000)/Samples_for_P_analysis[[#This Row],[Column2]]</f>
        <v>2.0564110200643293E-3</v>
      </c>
      <c r="H75" s="59">
        <v>2.8549999999999999E-3</v>
      </c>
      <c r="I75" s="83">
        <f>(Samples_for_P_analysis[[#This Row],[Column43]]*50/1000)/Samples_for_P_analysis[[#This Row],[Column2]]</f>
        <v>1.418986083499006E-4</v>
      </c>
      <c r="J75" s="72">
        <v>5.1304499492044453</v>
      </c>
      <c r="K75" s="72"/>
      <c r="L75" s="26">
        <f>(Samples_for_P_analysis[[#This Row],[Column5]]*45/1000)/Samples_for_P_analysis[[#This Row],[Column2]]</f>
        <v>0.22949328798628235</v>
      </c>
      <c r="N75" s="88">
        <f>Samples_for_P_analysis[[#This Row],[Column32]]+Samples_for_P_analysis[[#This Row],[Column4]]+Samples_for_P_analysis[[#This Row],[Column42]]+Samples_for_P_analysis[[#This Row],[Column8]]</f>
        <v>0.25134311351926913</v>
      </c>
      <c r="O75">
        <f>Samples_for_P_analysis[[#This Row],[Column9]]*1000</f>
        <v>251.34311351926914</v>
      </c>
    </row>
    <row r="76" spans="1:15">
      <c r="A76" s="24" t="s">
        <v>271</v>
      </c>
      <c r="B76" s="27">
        <v>1.0409999999999999</v>
      </c>
      <c r="C76" s="53">
        <v>0.39538850000000003</v>
      </c>
      <c r="D76" s="43">
        <f>(Samples_for_P_analysis[[#This Row],[Column3]]*50/1000)/Samples_for_P_analysis[[#This Row],[Column2]]</f>
        <v>1.8990802113352547E-2</v>
      </c>
      <c r="E76" s="59">
        <v>4.6423492156367298E-2</v>
      </c>
      <c r="F76" s="59"/>
      <c r="G76" s="26">
        <f>(Samples_for_P_analysis[[#This Row],[Column7]]*50/1000)/Samples_for_P_analysis[[#This Row],[Column2]]</f>
        <v>2.2297546664921857E-3</v>
      </c>
      <c r="H76" s="59">
        <v>0</v>
      </c>
      <c r="I76" s="83">
        <f>(Samples_for_P_analysis[[#This Row],[Column43]]*50/1000)/Samples_for_P_analysis[[#This Row],[Column2]]</f>
        <v>0</v>
      </c>
      <c r="J76" s="72">
        <v>5.4062544150003484</v>
      </c>
      <c r="K76" s="72"/>
      <c r="L76" s="26">
        <f>(Samples_for_P_analysis[[#This Row],[Column5]]*45/1000)/Samples_for_P_analysis[[#This Row],[Column2]]</f>
        <v>0.23369975857350209</v>
      </c>
      <c r="N76" s="88">
        <f>Samples_for_P_analysis[[#This Row],[Column32]]+Samples_for_P_analysis[[#This Row],[Column4]]+Samples_for_P_analysis[[#This Row],[Column42]]+Samples_for_P_analysis[[#This Row],[Column8]]</f>
        <v>0.2549203153533468</v>
      </c>
      <c r="O76">
        <f>Samples_for_P_analysis[[#This Row],[Column9]]*1000</f>
        <v>254.92031535334681</v>
      </c>
    </row>
    <row r="77" spans="1:15">
      <c r="A77" s="66" t="s">
        <v>272</v>
      </c>
      <c r="B77" s="29">
        <v>0</v>
      </c>
      <c r="C77" s="20">
        <v>0</v>
      </c>
      <c r="D77" s="44"/>
      <c r="E77" s="44">
        <v>-2.27302242229287E-4</v>
      </c>
      <c r="F77" s="44"/>
      <c r="G77" s="44"/>
      <c r="H77" s="44">
        <v>0</v>
      </c>
      <c r="I77" s="84"/>
      <c r="J77" s="44">
        <v>-1.4740157048129745E-2</v>
      </c>
      <c r="K77" s="44"/>
      <c r="L77" s="22"/>
      <c r="N77" s="88">
        <f>Samples_for_P_analysis[[#This Row],[Column32]]+Samples_for_P_analysis[[#This Row],[Column4]]+Samples_for_P_analysis[[#This Row],[Column42]]+Samples_for_P_analysis[[#This Row],[Column8]]</f>
        <v>0</v>
      </c>
      <c r="O77">
        <f>Samples_for_P_analysis[[#This Row],[Column9]]*1000</f>
        <v>0</v>
      </c>
    </row>
    <row r="78" spans="1:15">
      <c r="A78" s="5" t="s">
        <v>118</v>
      </c>
      <c r="B78" s="10">
        <v>1.002</v>
      </c>
      <c r="C78" s="51">
        <v>0.84934980000000015</v>
      </c>
      <c r="D78" s="68">
        <f>(Samples_for_P_analysis[[#This Row],[Column3]]*50/1000)/Samples_for_P_analysis[[#This Row],[Column2]]</f>
        <v>4.2382724550898206E-2</v>
      </c>
      <c r="E78" s="58">
        <v>0.39977846555843</v>
      </c>
      <c r="F78" s="58">
        <f>Samples_for_P_analysis[[#This Row],[Column7]]-$E$102</f>
        <v>0.20260470085183999</v>
      </c>
      <c r="G78" s="68">
        <f>(Samples_for_P_analysis[[#This Row],[Column12]]*50/1000)/Samples_for_P_analysis[[#This Row],[Column2]]</f>
        <v>1.0110015012566868E-2</v>
      </c>
      <c r="H78" s="58">
        <v>0.45119360000000003</v>
      </c>
      <c r="I78" s="81">
        <f>(Samples_for_P_analysis[[#This Row],[Column43]]*50/1000)/Samples_for_P_analysis[[#This Row],[Column2]]</f>
        <v>2.2514650698602794E-2</v>
      </c>
      <c r="J78" s="71">
        <v>7.2030897003639938</v>
      </c>
      <c r="K78" s="71">
        <f>Samples_for_P_analysis[[#This Row],[Column5]]-$J$102</f>
        <v>7.1967950191216232</v>
      </c>
      <c r="L78">
        <f>(Samples_for_P_analysis[[#This Row],[Column11]]*45/1000)/Samples_for_P_analysis[[#This Row],[Column2]]</f>
        <v>0.32320935714618065</v>
      </c>
      <c r="M78" t="s">
        <v>3</v>
      </c>
      <c r="N78" s="88">
        <f>Samples_for_P_analysis[[#This Row],[Column32]]+Samples_for_P_analysis[[#This Row],[Column4]]+Samples_for_P_analysis[[#This Row],[Column42]]+Samples_for_P_analysis[[#This Row],[Column8]]</f>
        <v>0.39821674740824853</v>
      </c>
      <c r="O78">
        <f>Samples_for_P_analysis[[#This Row],[Column9]]*1000</f>
        <v>398.21674740824852</v>
      </c>
    </row>
    <row r="79" spans="1:15">
      <c r="A79" s="5" t="s">
        <v>119</v>
      </c>
      <c r="B79" s="10">
        <v>1.0089999999999999</v>
      </c>
      <c r="C79" s="51">
        <v>1.1694501000000002</v>
      </c>
      <c r="D79" s="68">
        <f>(Samples_for_P_analysis[[#This Row],[Column3]]*50/1000)/Samples_for_P_analysis[[#This Row],[Column2]]</f>
        <v>5.795094648166503E-2</v>
      </c>
      <c r="E79" s="58">
        <v>0.42986299341566903</v>
      </c>
      <c r="F79" s="58">
        <f>Samples_for_P_analysis[[#This Row],[Column7]]-$E$102</f>
        <v>0.23268922870907902</v>
      </c>
      <c r="G79" s="68">
        <f>(Samples_for_P_analysis[[#This Row],[Column12]]*50/1000)/Samples_for_P_analysis[[#This Row],[Column2]]</f>
        <v>1.1530685268041576E-2</v>
      </c>
      <c r="H79" s="58">
        <v>0.32814080000000001</v>
      </c>
      <c r="I79" s="81">
        <f>(Samples_for_P_analysis[[#This Row],[Column43]]*50/1000)/Samples_for_P_analysis[[#This Row],[Column2]]</f>
        <v>1.6260693756194256E-2</v>
      </c>
      <c r="J79" s="71">
        <v>4.3133831320199043</v>
      </c>
      <c r="K79" s="71">
        <f>Samples_for_P_analysis[[#This Row],[Column5]]-$J$102</f>
        <v>4.3070884507775338</v>
      </c>
      <c r="L79">
        <f>(Samples_for_P_analysis[[#This Row],[Column11]]*45/1000)/Samples_for_P_analysis[[#This Row],[Column2]]</f>
        <v>0.19209016876609417</v>
      </c>
      <c r="M79" t="s">
        <v>3</v>
      </c>
      <c r="N79" s="88">
        <f>Samples_for_P_analysis[[#This Row],[Column32]]+Samples_for_P_analysis[[#This Row],[Column4]]+Samples_for_P_analysis[[#This Row],[Column42]]+Samples_for_P_analysis[[#This Row],[Column8]]</f>
        <v>0.27783249427199502</v>
      </c>
      <c r="O79">
        <f>Samples_for_P_analysis[[#This Row],[Column9]]*1000</f>
        <v>277.83249427199502</v>
      </c>
    </row>
    <row r="80" spans="1:15">
      <c r="A80" s="5" t="s">
        <v>120</v>
      </c>
      <c r="B80" s="10">
        <v>1.0069999999999999</v>
      </c>
      <c r="C80" s="51">
        <v>0.24613289999999996</v>
      </c>
      <c r="D80" s="68">
        <f>(Samples_for_P_analysis[[#This Row],[Column3]]*50/1000)/Samples_for_P_analysis[[#This Row],[Column2]]</f>
        <v>1.2221097318768619E-2</v>
      </c>
      <c r="E80" s="58">
        <v>0.26993621587528599</v>
      </c>
      <c r="F80" s="58">
        <f>Samples_for_P_analysis[[#This Row],[Column7]]-$E$102</f>
        <v>7.276245116869598E-2</v>
      </c>
      <c r="G80" s="68">
        <f>(Samples_for_P_analysis[[#This Row],[Column12]]*50/1000)/Samples_for_P_analysis[[#This Row],[Column2]]</f>
        <v>3.6128327293294929E-3</v>
      </c>
      <c r="H80" s="58">
        <v>1.697280000000001E-2</v>
      </c>
      <c r="I80" s="81">
        <f>(Samples_for_P_analysis[[#This Row],[Column43]]*50/1000)/Samples_for_P_analysis[[#This Row],[Column2]]</f>
        <v>8.427408142999013E-4</v>
      </c>
      <c r="J80" s="71">
        <v>3.0922950943680783</v>
      </c>
      <c r="K80" s="71">
        <f>Samples_for_P_analysis[[#This Row],[Column5]]-$J$102</f>
        <v>3.0860004131257077</v>
      </c>
      <c r="L80">
        <f>(Samples_for_P_analysis[[#This Row],[Column11]]*45/1000)/Samples_for_P_analysis[[#This Row],[Column2]]</f>
        <v>0.13790468579012599</v>
      </c>
      <c r="M80" t="s">
        <v>3</v>
      </c>
      <c r="N80" s="88">
        <f>Samples_for_P_analysis[[#This Row],[Column32]]+Samples_for_P_analysis[[#This Row],[Column4]]+Samples_for_P_analysis[[#This Row],[Column42]]+Samples_for_P_analysis[[#This Row],[Column8]]</f>
        <v>0.15458135665252401</v>
      </c>
      <c r="O80">
        <f>Samples_for_P_analysis[[#This Row],[Column9]]*1000</f>
        <v>154.58135665252402</v>
      </c>
    </row>
    <row r="81" spans="1:15">
      <c r="A81" s="5" t="s">
        <v>121</v>
      </c>
      <c r="B81" s="13">
        <v>1.01</v>
      </c>
      <c r="C81" s="51">
        <v>1.0380942</v>
      </c>
      <c r="D81" s="68">
        <f>(Samples_for_P_analysis[[#This Row],[Column3]]*50/1000)/Samples_for_P_analysis[[#This Row],[Column2]]</f>
        <v>5.139080198019802E-2</v>
      </c>
      <c r="E81" s="58">
        <v>0.51598290899019195</v>
      </c>
      <c r="F81" s="58">
        <f>Samples_for_P_analysis[[#This Row],[Column7]]-$E$102</f>
        <v>0.31880914428360196</v>
      </c>
      <c r="G81" s="68">
        <f>(Samples_for_P_analysis[[#This Row],[Column12]]*50/1000)/Samples_for_P_analysis[[#This Row],[Column2]]</f>
        <v>1.5782630905128811E-2</v>
      </c>
      <c r="H81" s="58">
        <v>5.1238583999999996</v>
      </c>
      <c r="I81" s="81">
        <f>(Samples_for_P_analysis[[#This Row],[Column43]]*50/1000)/Samples_for_P_analysis[[#This Row],[Column2]]</f>
        <v>0.25365635643564349</v>
      </c>
      <c r="J81" s="71">
        <v>4.4580216140000397</v>
      </c>
      <c r="K81" s="71">
        <f>Samples_for_P_analysis[[#This Row],[Column5]]-$J$102</f>
        <v>4.4517269327576692</v>
      </c>
      <c r="L81">
        <f>(Samples_for_P_analysis[[#This Row],[Column11]]*45/1000)/Samples_for_P_analysis[[#This Row],[Column2]]</f>
        <v>0.19834426928128226</v>
      </c>
      <c r="M81" t="s">
        <v>3</v>
      </c>
      <c r="N81" s="88">
        <f>Samples_for_P_analysis[[#This Row],[Column32]]+Samples_for_P_analysis[[#This Row],[Column4]]+Samples_for_P_analysis[[#This Row],[Column42]]+Samples_for_P_analysis[[#This Row],[Column8]]</f>
        <v>0.51917405860225263</v>
      </c>
      <c r="O81">
        <f>Samples_for_P_analysis[[#This Row],[Column9]]*1000</f>
        <v>519.17405860225267</v>
      </c>
    </row>
    <row r="82" spans="1:15">
      <c r="A82" s="5" t="s">
        <v>122</v>
      </c>
      <c r="B82" s="13">
        <v>1.01</v>
      </c>
      <c r="C82" s="51">
        <v>2.5988390999999993</v>
      </c>
      <c r="D82" s="68">
        <f>(Samples_for_P_analysis[[#This Row],[Column3]]*50/1000)/Samples_for_P_analysis[[#This Row],[Column2]]</f>
        <v>0.12865540099009895</v>
      </c>
      <c r="E82" s="58">
        <v>1.01958680158453</v>
      </c>
      <c r="F82" s="58">
        <f>Samples_for_P_analysis[[#This Row],[Column7]]-$E$102</f>
        <v>0.82241303687793998</v>
      </c>
      <c r="G82" s="68">
        <f>(Samples_for_P_analysis[[#This Row],[Column12]]*50/1000)/Samples_for_P_analysis[[#This Row],[Column2]]</f>
        <v>4.0713516677125743E-2</v>
      </c>
      <c r="H82" s="58">
        <v>5.9404800000000035E-2</v>
      </c>
      <c r="I82" s="81">
        <f>(Samples_for_P_analysis[[#This Row],[Column43]]*50/1000)/Samples_for_P_analysis[[#This Row],[Column2]]</f>
        <v>2.9408316831683184E-3</v>
      </c>
      <c r="J82" s="71">
        <v>8.6764178725635475</v>
      </c>
      <c r="K82" s="71">
        <f>Samples_for_P_analysis[[#This Row],[Column5]]-$J$102</f>
        <v>8.6701231913211778</v>
      </c>
      <c r="L82">
        <f>(Samples_for_P_analysis[[#This Row],[Column11]]*45/1000)/Samples_for_P_analysis[[#This Row],[Column2]]</f>
        <v>0.38629261743510196</v>
      </c>
      <c r="M82" t="s">
        <v>3</v>
      </c>
      <c r="N82" s="88">
        <f>Samples_for_P_analysis[[#This Row],[Column32]]+Samples_for_P_analysis[[#This Row],[Column4]]+Samples_for_P_analysis[[#This Row],[Column42]]+Samples_for_P_analysis[[#This Row],[Column8]]</f>
        <v>0.55860236678549491</v>
      </c>
      <c r="O82">
        <f>Samples_for_P_analysis[[#This Row],[Column9]]*1000</f>
        <v>558.60236678549495</v>
      </c>
    </row>
    <row r="83" spans="1:15">
      <c r="A83" s="5" t="s">
        <v>123</v>
      </c>
      <c r="B83" s="10">
        <v>1.002</v>
      </c>
      <c r="C83" s="51">
        <v>5.5320291000000008</v>
      </c>
      <c r="D83" s="68">
        <f>(Samples_for_P_analysis[[#This Row],[Column3]]*50/1000)/Samples_for_P_analysis[[#This Row],[Column2]]</f>
        <v>0.27604935628742522</v>
      </c>
      <c r="E83" s="58">
        <v>1.57881381447622</v>
      </c>
      <c r="F83" s="58">
        <f>Samples_for_P_analysis[[#This Row],[Column7]]-$E$102</f>
        <v>1.38164004976963</v>
      </c>
      <c r="G83" s="68">
        <f>(Samples_for_P_analysis[[#This Row],[Column12]]*50/1000)/Samples_for_P_analysis[[#This Row],[Column2]]</f>
        <v>6.8944114259961567E-2</v>
      </c>
      <c r="H83" s="58">
        <v>2.1960504000000003</v>
      </c>
      <c r="I83" s="81">
        <f>(Samples_for_P_analysis[[#This Row],[Column43]]*50/1000)/Samples_for_P_analysis[[#This Row],[Column2]]</f>
        <v>0.10958335329341319</v>
      </c>
      <c r="J83" s="71">
        <v>10.685325005948465</v>
      </c>
      <c r="K83" s="71">
        <f>Samples_for_P_analysis[[#This Row],[Column5]]-$J$102</f>
        <v>10.679030324706096</v>
      </c>
      <c r="L83">
        <f>(Samples_for_P_analysis[[#This Row],[Column11]]*45/1000)/Samples_for_P_analysis[[#This Row],[Column2]]</f>
        <v>0.47959717027123183</v>
      </c>
      <c r="M83" t="s">
        <v>3</v>
      </c>
      <c r="N83" s="88">
        <f>Samples_for_P_analysis[[#This Row],[Column32]]+Samples_for_P_analysis[[#This Row],[Column4]]+Samples_for_P_analysis[[#This Row],[Column42]]+Samples_for_P_analysis[[#This Row],[Column8]]</f>
        <v>0.93417399411203172</v>
      </c>
      <c r="O83">
        <f>Samples_for_P_analysis[[#This Row],[Column9]]*1000</f>
        <v>934.17399411203178</v>
      </c>
    </row>
    <row r="84" spans="1:15">
      <c r="A84" s="5" t="s">
        <v>124</v>
      </c>
      <c r="B84" s="10">
        <v>1.0009999999999999</v>
      </c>
      <c r="C84" s="51">
        <v>0.21552570000000001</v>
      </c>
      <c r="D84" s="68">
        <f>(Samples_for_P_analysis[[#This Row],[Column3]]*50/1000)/Samples_for_P_analysis[[#This Row],[Column2]]</f>
        <v>1.0765519480519483E-2</v>
      </c>
      <c r="E84" s="58">
        <v>0.118155842552778</v>
      </c>
      <c r="G84" s="68"/>
      <c r="I84" s="81"/>
      <c r="J84" s="71">
        <v>2.2009347736346236</v>
      </c>
      <c r="K84" s="71">
        <f>Samples_for_P_analysis[[#This Row],[Column5]]-$J$102</f>
        <v>2.1946400923922531</v>
      </c>
      <c r="L84">
        <f>(Samples_for_P_analysis[[#This Row],[Column11]]*45/1000)/Samples_for_P_analysis[[#This Row],[Column2]]</f>
        <v>9.8660144013637763E-2</v>
      </c>
      <c r="M84" t="s">
        <v>3</v>
      </c>
      <c r="N84" s="88">
        <f>Samples_for_P_analysis[[#This Row],[Column32]]+Samples_for_P_analysis[[#This Row],[Column4]]+Samples_for_P_analysis[[#This Row],[Column42]]+Samples_for_P_analysis[[#This Row],[Column8]]</f>
        <v>0.10942566349415725</v>
      </c>
      <c r="O84">
        <f>Samples_for_P_analysis[[#This Row],[Column9]]*1000</f>
        <v>109.42566349415725</v>
      </c>
    </row>
    <row r="85" spans="1:15">
      <c r="A85" s="5" t="s">
        <v>125</v>
      </c>
      <c r="B85" s="10">
        <v>1.002</v>
      </c>
      <c r="C85" s="51">
        <v>0.16451369999999998</v>
      </c>
      <c r="D85" s="68">
        <f>(Samples_for_P_analysis[[#This Row],[Column3]]*50/1000)/Samples_for_P_analysis[[#This Row],[Column2]]</f>
        <v>8.2092664670658667E-3</v>
      </c>
      <c r="E85" s="58">
        <v>0.15002686256306</v>
      </c>
      <c r="G85" s="68"/>
      <c r="I85" s="81"/>
      <c r="J85" s="71">
        <v>2.5874525972565396</v>
      </c>
      <c r="K85" s="71">
        <f>Samples_for_P_analysis[[#This Row],[Column5]]-$J$102</f>
        <v>2.5811579160141691</v>
      </c>
      <c r="L85">
        <f>(Samples_for_P_analysis[[#This Row],[Column11]]*45/1000)/Samples_for_P_analysis[[#This Row],[Column2]]</f>
        <v>0.11592026568925909</v>
      </c>
      <c r="M85" t="s">
        <v>3</v>
      </c>
      <c r="N85" s="88">
        <f>Samples_for_P_analysis[[#This Row],[Column32]]+Samples_for_P_analysis[[#This Row],[Column4]]+Samples_for_P_analysis[[#This Row],[Column42]]+Samples_for_P_analysis[[#This Row],[Column8]]</f>
        <v>0.12412953215632495</v>
      </c>
      <c r="O85">
        <f>Samples_for_P_analysis[[#This Row],[Column9]]*1000</f>
        <v>124.12953215632496</v>
      </c>
    </row>
    <row r="86" spans="1:15">
      <c r="A86" s="5" t="s">
        <v>126</v>
      </c>
      <c r="B86" s="10">
        <v>1.0089999999999999</v>
      </c>
      <c r="C86" s="51">
        <v>0.26398710000000003</v>
      </c>
      <c r="D86" s="68">
        <f>(Samples_for_P_analysis[[#This Row],[Column3]]*50/1000)/Samples_for_P_analysis[[#This Row],[Column2]]</f>
        <v>1.3081620416253719E-2</v>
      </c>
      <c r="E86" s="58">
        <v>9.1996100533300595E-2</v>
      </c>
      <c r="G86" s="68"/>
      <c r="I86" s="81"/>
      <c r="J86" s="71">
        <v>1.3701086419998916</v>
      </c>
      <c r="K86" s="71">
        <f>Samples_for_P_analysis[[#This Row],[Column5]]-$J$102</f>
        <v>1.3638139607575213</v>
      </c>
      <c r="L86">
        <f>(Samples_for_P_analysis[[#This Row],[Column11]]*45/1000)/Samples_for_P_analysis[[#This Row],[Column2]]</f>
        <v>6.0824210341019286E-2</v>
      </c>
      <c r="M86" t="s">
        <v>3</v>
      </c>
      <c r="N86" s="88">
        <f>Samples_for_P_analysis[[#This Row],[Column32]]+Samples_for_P_analysis[[#This Row],[Column4]]+Samples_for_P_analysis[[#This Row],[Column42]]+Samples_for_P_analysis[[#This Row],[Column8]]</f>
        <v>7.3905830757273E-2</v>
      </c>
      <c r="O86">
        <f>Samples_for_P_analysis[[#This Row],[Column9]]*1000</f>
        <v>73.905830757272994</v>
      </c>
    </row>
    <row r="87" spans="1:15">
      <c r="A87" s="5" t="s">
        <v>127</v>
      </c>
      <c r="B87" s="10">
        <v>1.004</v>
      </c>
      <c r="C87" s="51">
        <v>0.55858140000000012</v>
      </c>
      <c r="D87" s="68">
        <f>(Samples_for_P_analysis[[#This Row],[Column3]]*50/1000)/Samples_for_P_analysis[[#This Row],[Column2]]</f>
        <v>2.7817798804780882E-2</v>
      </c>
      <c r="E87" s="58">
        <v>0.29112126436090602</v>
      </c>
      <c r="F87" s="58">
        <f>Samples_for_P_analysis[[#This Row],[Column7]]-$E$102</f>
        <v>9.3947499654316008E-2</v>
      </c>
      <c r="G87" s="68">
        <f>(Samples_for_P_analysis[[#This Row],[Column12]]*50/1000)/Samples_for_P_analysis[[#This Row],[Column2]]</f>
        <v>4.6786603413503988E-3</v>
      </c>
      <c r="I87" s="81"/>
      <c r="J87" s="71">
        <v>2.3812931233727537</v>
      </c>
      <c r="K87" s="71">
        <f>Samples_for_P_analysis[[#This Row],[Column5]]-$J$102</f>
        <v>2.3749984421303831</v>
      </c>
      <c r="L87">
        <f>(Samples_for_P_analysis[[#This Row],[Column11]]*45/1000)/Samples_for_P_analysis[[#This Row],[Column2]]</f>
        <v>0.10644913336241757</v>
      </c>
      <c r="M87" t="s">
        <v>3</v>
      </c>
      <c r="N87" s="88">
        <f>Samples_for_P_analysis[[#This Row],[Column32]]+Samples_for_P_analysis[[#This Row],[Column4]]+Samples_for_P_analysis[[#This Row],[Column42]]+Samples_for_P_analysis[[#This Row],[Column8]]</f>
        <v>0.13894559250854885</v>
      </c>
      <c r="O87">
        <f>Samples_for_P_analysis[[#This Row],[Column9]]*1000</f>
        <v>138.94559250854886</v>
      </c>
    </row>
    <row r="88" spans="1:15">
      <c r="A88" s="5" t="s">
        <v>128</v>
      </c>
      <c r="B88" s="10">
        <v>1.0069999999999999</v>
      </c>
      <c r="C88" s="51">
        <v>0.54965430000000015</v>
      </c>
      <c r="D88" s="68">
        <f>(Samples_for_P_analysis[[#This Row],[Column3]]*50/1000)/Samples_for_P_analysis[[#This Row],[Column2]]</f>
        <v>2.7291673286991069E-2</v>
      </c>
      <c r="E88" s="58">
        <v>0.39323715582882701</v>
      </c>
      <c r="F88" s="58">
        <f>Samples_for_P_analysis[[#This Row],[Column7]]-$E$102</f>
        <v>0.196063391122237</v>
      </c>
      <c r="G88" s="68">
        <f>(Samples_for_P_analysis[[#This Row],[Column12]]*50/1000)/Samples_for_P_analysis[[#This Row],[Column2]]</f>
        <v>9.7350243854139526E-3</v>
      </c>
      <c r="H88" s="58">
        <v>1.7151544000000001</v>
      </c>
      <c r="I88" s="81">
        <f>(Samples_for_P_analysis[[#This Row],[Column43]]*50/1000)/Samples_for_P_analysis[[#This Row],[Column2]]</f>
        <v>8.5161588877855035E-2</v>
      </c>
      <c r="J88" s="71">
        <v>4.2448173102147075</v>
      </c>
      <c r="K88" s="71">
        <f>Samples_for_P_analysis[[#This Row],[Column5]]-$J$102</f>
        <v>4.238522628972337</v>
      </c>
      <c r="L88">
        <f>(Samples_for_P_analysis[[#This Row],[Column11]]*45/1000)/Samples_for_P_analysis[[#This Row],[Column2]]</f>
        <v>0.18940766465119682</v>
      </c>
      <c r="M88" t="s">
        <v>3</v>
      </c>
      <c r="N88" s="88">
        <f>Samples_for_P_analysis[[#This Row],[Column32]]+Samples_for_P_analysis[[#This Row],[Column4]]+Samples_for_P_analysis[[#This Row],[Column42]]+Samples_for_P_analysis[[#This Row],[Column8]]</f>
        <v>0.31159595120145689</v>
      </c>
      <c r="O88">
        <f>Samples_for_P_analysis[[#This Row],[Column9]]*1000</f>
        <v>311.5959512014569</v>
      </c>
    </row>
    <row r="89" spans="1:15">
      <c r="A89" s="5" t="s">
        <v>129</v>
      </c>
      <c r="B89" s="10">
        <v>1.012</v>
      </c>
      <c r="C89" s="51">
        <v>0.31117320000000004</v>
      </c>
      <c r="D89" s="68">
        <f>(Samples_for_P_analysis[[#This Row],[Column3]]*50/1000)/Samples_for_P_analysis[[#This Row],[Column2]]</f>
        <v>1.5374169960474309E-2</v>
      </c>
      <c r="E89" s="58">
        <v>0.409090212349982</v>
      </c>
      <c r="F89" s="58">
        <f>Samples_for_P_analysis[[#This Row],[Column7]]-$E$102</f>
        <v>0.21191644764339199</v>
      </c>
      <c r="G89" s="68">
        <f>(Samples_for_P_analysis[[#This Row],[Column12]]*50/1000)/Samples_for_P_analysis[[#This Row],[Column2]]</f>
        <v>1.0470180219535177E-2</v>
      </c>
      <c r="H89" s="58">
        <v>0.28995200000000004</v>
      </c>
      <c r="I89" s="81">
        <f>(Samples_for_P_analysis[[#This Row],[Column43]]*50/1000)/Samples_for_P_analysis[[#This Row],[Column2]]</f>
        <v>1.4325691699604745E-2</v>
      </c>
      <c r="J89" s="71">
        <v>2.3176958738120534</v>
      </c>
      <c r="K89" s="71">
        <f>Samples_for_P_analysis[[#This Row],[Column5]]-$J$102</f>
        <v>2.3114011925696829</v>
      </c>
      <c r="L89">
        <f>(Samples_for_P_analysis[[#This Row],[Column11]]*45/1000)/Samples_for_P_analysis[[#This Row],[Column2]]</f>
        <v>0.10277969729805903</v>
      </c>
      <c r="M89" t="s">
        <v>3</v>
      </c>
      <c r="N89" s="88">
        <f>Samples_for_P_analysis[[#This Row],[Column32]]+Samples_for_P_analysis[[#This Row],[Column4]]+Samples_for_P_analysis[[#This Row],[Column42]]+Samples_for_P_analysis[[#This Row],[Column8]]</f>
        <v>0.14294973917767326</v>
      </c>
      <c r="O89">
        <f>Samples_for_P_analysis[[#This Row],[Column9]]*1000</f>
        <v>142.94973917767325</v>
      </c>
    </row>
    <row r="90" spans="1:15">
      <c r="A90" s="5" t="s">
        <v>130</v>
      </c>
      <c r="B90" s="10">
        <v>1.008</v>
      </c>
      <c r="C90" s="51">
        <v>0.22955400000000001</v>
      </c>
      <c r="D90" s="68">
        <f>(Samples_for_P_analysis[[#This Row],[Column3]]*50/1000)/Samples_for_P_analysis[[#This Row],[Column2]]</f>
        <v>1.1386607142857143E-2</v>
      </c>
      <c r="E90" s="58">
        <v>0.14546993334806799</v>
      </c>
      <c r="G90" s="68"/>
      <c r="I90" s="81"/>
      <c r="J90" s="71">
        <v>2.1040087304737818</v>
      </c>
      <c r="K90" s="71">
        <f>Samples_for_P_analysis[[#This Row],[Column5]]-$J$102</f>
        <v>2.0977140492314112</v>
      </c>
      <c r="L90">
        <f>(Samples_for_P_analysis[[#This Row],[Column11]]*45/1000)/Samples_for_P_analysis[[#This Row],[Column2]]</f>
        <v>9.3647948626402286E-2</v>
      </c>
      <c r="M90" t="s">
        <v>3</v>
      </c>
      <c r="N90" s="88">
        <f>Samples_for_P_analysis[[#This Row],[Column32]]+Samples_for_P_analysis[[#This Row],[Column4]]+Samples_for_P_analysis[[#This Row],[Column42]]+Samples_for_P_analysis[[#This Row],[Column8]]</f>
        <v>0.10503455576925944</v>
      </c>
      <c r="O90">
        <f>Samples_for_P_analysis[[#This Row],[Column9]]*1000</f>
        <v>105.03455576925944</v>
      </c>
    </row>
    <row r="91" spans="1:15">
      <c r="A91" s="5" t="s">
        <v>131</v>
      </c>
      <c r="B91" s="10">
        <v>1.0029999999999999</v>
      </c>
      <c r="C91" s="51">
        <v>0.10074870000000001</v>
      </c>
      <c r="D91" s="68">
        <f>(Samples_for_P_analysis[[#This Row],[Column3]]*50/1000)/Samples_for_P_analysis[[#This Row],[Column2]]</f>
        <v>5.0223678963110677E-3</v>
      </c>
      <c r="E91" s="58">
        <v>0.226389782532503</v>
      </c>
      <c r="F91" s="58">
        <f>Samples_for_P_analysis[[#This Row],[Column7]]-$E$102</f>
        <v>2.9216017825912988E-2</v>
      </c>
      <c r="G91" s="68">
        <f>(Samples_for_P_analysis[[#This Row],[Column12]]*50/1000)/Samples_for_P_analysis[[#This Row],[Column2]]</f>
        <v>1.4564315965061312E-3</v>
      </c>
      <c r="I91" s="81"/>
      <c r="J91" s="71">
        <v>1.9398223669346499</v>
      </c>
      <c r="K91" s="71">
        <f>Samples_for_P_analysis[[#This Row],[Column5]]-$J$102</f>
        <v>1.9335276856922796</v>
      </c>
      <c r="L91">
        <f>(Samples_for_P_analysis[[#This Row],[Column11]]*45/1000)/Samples_for_P_analysis[[#This Row],[Column2]]</f>
        <v>8.6748500355087341E-2</v>
      </c>
      <c r="M91" t="s">
        <v>3</v>
      </c>
      <c r="N91" s="88">
        <f>Samples_for_P_analysis[[#This Row],[Column32]]+Samples_for_P_analysis[[#This Row],[Column4]]+Samples_for_P_analysis[[#This Row],[Column42]]+Samples_for_P_analysis[[#This Row],[Column8]]</f>
        <v>9.3227299847904538E-2</v>
      </c>
      <c r="O91">
        <f>Samples_for_P_analysis[[#This Row],[Column9]]*1000</f>
        <v>93.227299847904533</v>
      </c>
    </row>
    <row r="92" spans="1:15">
      <c r="A92" s="5" t="s">
        <v>132</v>
      </c>
      <c r="B92" s="10">
        <v>1.014</v>
      </c>
      <c r="C92" s="51">
        <v>0.14793480000000001</v>
      </c>
      <c r="D92" s="68">
        <f>(Samples_for_P_analysis[[#This Row],[Column3]]*50/1000)/Samples_for_P_analysis[[#This Row],[Column2]]</f>
        <v>7.2946153846153855E-3</v>
      </c>
      <c r="E92" s="58">
        <v>0.18794447139902401</v>
      </c>
      <c r="G92" s="68"/>
      <c r="I92" s="81"/>
      <c r="J92" s="71">
        <v>1.4596472810889851</v>
      </c>
      <c r="K92" s="71">
        <f>Samples_for_P_analysis[[#This Row],[Column5]]-$J$102</f>
        <v>1.4533525998466148</v>
      </c>
      <c r="L92">
        <f>(Samples_for_P_analysis[[#This Row],[Column11]]*45/1000)/Samples_for_P_analysis[[#This Row],[Column2]]</f>
        <v>6.4497896442897107E-2</v>
      </c>
      <c r="M92" t="s">
        <v>3</v>
      </c>
      <c r="N92" s="88">
        <f>Samples_for_P_analysis[[#This Row],[Column32]]+Samples_for_P_analysis[[#This Row],[Column4]]+Samples_for_P_analysis[[#This Row],[Column42]]+Samples_for_P_analysis[[#This Row],[Column8]]</f>
        <v>7.1792511827512492E-2</v>
      </c>
      <c r="O92">
        <f>Samples_for_P_analysis[[#This Row],[Column9]]*1000</f>
        <v>71.792511827512499</v>
      </c>
    </row>
    <row r="93" spans="1:15">
      <c r="A93" s="5" t="s">
        <v>133</v>
      </c>
      <c r="B93" s="10">
        <v>1.0009999999999999</v>
      </c>
      <c r="C93" s="51">
        <v>0.21425040000000001</v>
      </c>
      <c r="D93" s="68">
        <f>(Samples_for_P_analysis[[#This Row],[Column3]]*50/1000)/Samples_for_P_analysis[[#This Row],[Column2]]</f>
        <v>1.0701818181818182E-2</v>
      </c>
      <c r="E93" s="58">
        <v>0.21351054833379901</v>
      </c>
      <c r="F93" s="58">
        <f>Samples_for_P_analysis[[#This Row],[Column7]]-$E$102</f>
        <v>1.6336783627209001E-2</v>
      </c>
      <c r="G93" s="68">
        <f>(Samples_for_P_analysis[[#This Row],[Column12]]*50/1000)/Samples_for_P_analysis[[#This Row],[Column2]]</f>
        <v>8.1602315820224788E-4</v>
      </c>
      <c r="I93" s="81"/>
      <c r="J93" s="71">
        <v>1.5311180974015066</v>
      </c>
      <c r="K93" s="71">
        <f>Samples_for_P_analysis[[#This Row],[Column5]]-$J$102</f>
        <v>1.5248234161591363</v>
      </c>
      <c r="L93">
        <f>(Samples_for_P_analysis[[#This Row],[Column11]]*45/1000)/Samples_for_P_analysis[[#This Row],[Column2]]</f>
        <v>6.8548505221939199E-2</v>
      </c>
      <c r="M93" t="s">
        <v>3</v>
      </c>
      <c r="N93" s="88">
        <f>Samples_for_P_analysis[[#This Row],[Column32]]+Samples_for_P_analysis[[#This Row],[Column4]]+Samples_for_P_analysis[[#This Row],[Column42]]+Samples_for_P_analysis[[#This Row],[Column8]]</f>
        <v>8.0066346561959628E-2</v>
      </c>
      <c r="O93">
        <f>Samples_for_P_analysis[[#This Row],[Column9]]*1000</f>
        <v>80.066346561959634</v>
      </c>
    </row>
    <row r="94" spans="1:15">
      <c r="A94" s="5" t="s">
        <v>134</v>
      </c>
      <c r="B94" s="10">
        <v>1.0009999999999999</v>
      </c>
      <c r="C94" s="51">
        <v>0.19894680000000003</v>
      </c>
      <c r="D94" s="68">
        <f>(Samples_for_P_analysis[[#This Row],[Column3]]*50/1000)/Samples_for_P_analysis[[#This Row],[Column2]]</f>
        <v>9.937402597402601E-3</v>
      </c>
      <c r="E94" s="58">
        <v>0.16338432696888699</v>
      </c>
      <c r="G94" s="68"/>
      <c r="I94" s="81"/>
      <c r="J94" s="71">
        <v>1.7411705220943967</v>
      </c>
      <c r="K94" s="71">
        <f>Samples_for_P_analysis[[#This Row],[Column5]]-$J$102</f>
        <v>1.7348758408520264</v>
      </c>
      <c r="L94">
        <f>(Samples_for_P_analysis[[#This Row],[Column11]]*45/1000)/Samples_for_P_analysis[[#This Row],[Column2]]</f>
        <v>7.7991421416924278E-2</v>
      </c>
      <c r="M94" t="s">
        <v>3</v>
      </c>
      <c r="N94" s="88">
        <f>Samples_for_P_analysis[[#This Row],[Column32]]+Samples_for_P_analysis[[#This Row],[Column4]]+Samples_for_P_analysis[[#This Row],[Column42]]+Samples_for_P_analysis[[#This Row],[Column8]]</f>
        <v>8.7928824014326876E-2</v>
      </c>
      <c r="O94">
        <f>Samples_for_P_analysis[[#This Row],[Column9]]*1000</f>
        <v>87.928824014326878</v>
      </c>
    </row>
    <row r="95" spans="1:15">
      <c r="A95" s="5" t="s">
        <v>135</v>
      </c>
      <c r="B95" s="10">
        <v>1.002</v>
      </c>
      <c r="C95" s="51">
        <v>0.18364320000000001</v>
      </c>
      <c r="D95" s="68">
        <f>(Samples_for_P_analysis[[#This Row],[Column3]]*50/1000)/Samples_for_P_analysis[[#This Row],[Column2]]</f>
        <v>9.1638323353293409E-3</v>
      </c>
      <c r="E95" s="58">
        <v>0.15536984832539</v>
      </c>
      <c r="G95" s="68"/>
      <c r="I95" s="81"/>
      <c r="J95" s="71">
        <v>1.5071339521012952</v>
      </c>
      <c r="K95" s="71">
        <f>Samples_for_P_analysis[[#This Row],[Column5]]-$J$102</f>
        <v>1.5008392708589249</v>
      </c>
      <c r="L95">
        <f>(Samples_for_P_analysis[[#This Row],[Column11]]*45/1000)/Samples_for_P_analysis[[#This Row],[Column2]]</f>
        <v>6.7402961266119388E-2</v>
      </c>
      <c r="M95" t="s">
        <v>3</v>
      </c>
      <c r="N95" s="88">
        <f>Samples_for_P_analysis[[#This Row],[Column32]]+Samples_for_P_analysis[[#This Row],[Column4]]+Samples_for_P_analysis[[#This Row],[Column42]]+Samples_for_P_analysis[[#This Row],[Column8]]</f>
        <v>7.6566793601448732E-2</v>
      </c>
      <c r="O95">
        <f>Samples_for_P_analysis[[#This Row],[Column9]]*1000</f>
        <v>76.566793601448737</v>
      </c>
    </row>
    <row r="96" spans="1:15">
      <c r="A96" s="5" t="s">
        <v>136</v>
      </c>
      <c r="B96" s="10">
        <v>1.0009999999999999</v>
      </c>
      <c r="C96" s="51">
        <v>0.28184130000000002</v>
      </c>
      <c r="D96" s="68">
        <f>(Samples_for_P_analysis[[#This Row],[Column3]]*50/1000)/Samples_for_P_analysis[[#This Row],[Column2]]</f>
        <v>1.4077987012987016E-2</v>
      </c>
      <c r="E96" s="58">
        <v>0.24518917688144501</v>
      </c>
      <c r="F96" s="58">
        <f>Samples_for_P_analysis[[#This Row],[Column7]]-$E$102</f>
        <v>4.8015412174854999E-2</v>
      </c>
      <c r="G96" s="68">
        <f>(Samples_for_P_analysis[[#This Row],[Column12]]*50/1000)/Samples_for_P_analysis[[#This Row],[Column2]]</f>
        <v>2.398372236506244E-3</v>
      </c>
      <c r="I96" s="81"/>
      <c r="J96" s="71">
        <v>2.3478835667990552</v>
      </c>
      <c r="K96" s="71">
        <f>Samples_for_P_analysis[[#This Row],[Column5]]-$J$102</f>
        <v>2.3415888855566847</v>
      </c>
      <c r="L96">
        <f>(Samples_for_P_analysis[[#This Row],[Column11]]*45/1000)/Samples_for_P_analysis[[#This Row],[Column2]]</f>
        <v>0.10526623361643439</v>
      </c>
      <c r="M96" t="s">
        <v>3</v>
      </c>
      <c r="N96" s="88">
        <f>Samples_for_P_analysis[[#This Row],[Column32]]+Samples_for_P_analysis[[#This Row],[Column4]]+Samples_for_P_analysis[[#This Row],[Column42]]+Samples_for_P_analysis[[#This Row],[Column8]]</f>
        <v>0.12174259286592765</v>
      </c>
      <c r="O96">
        <f>Samples_for_P_analysis[[#This Row],[Column9]]*1000</f>
        <v>121.74259286592765</v>
      </c>
    </row>
    <row r="97" spans="1:15">
      <c r="A97" s="5" t="s">
        <v>137</v>
      </c>
      <c r="B97" s="10">
        <v>1.0009999999999999</v>
      </c>
      <c r="C97" s="51">
        <v>6.7590900000000023E-2</v>
      </c>
      <c r="D97" s="68">
        <f>(Samples_for_P_analysis[[#This Row],[Column3]]*50/1000)/Samples_for_P_analysis[[#This Row],[Column2]]</f>
        <v>3.3761688311688327E-3</v>
      </c>
      <c r="E97" s="58">
        <v>7.9551121350258505E-2</v>
      </c>
      <c r="G97" s="68"/>
      <c r="I97" s="81"/>
      <c r="J97" s="71">
        <v>1.2492477415927434</v>
      </c>
      <c r="K97" s="71">
        <f>Samples_for_P_analysis[[#This Row],[Column5]]-$J$102</f>
        <v>1.2429530603503731</v>
      </c>
      <c r="L97">
        <f>(Samples_for_P_analysis[[#This Row],[Column11]]*45/1000)/Samples_for_P_analysis[[#This Row],[Column2]]</f>
        <v>5.5877010705061729E-2</v>
      </c>
      <c r="M97" t="s">
        <v>3</v>
      </c>
      <c r="N97" s="88">
        <f>Samples_for_P_analysis[[#This Row],[Column32]]+Samples_for_P_analysis[[#This Row],[Column4]]+Samples_for_P_analysis[[#This Row],[Column42]]+Samples_for_P_analysis[[#This Row],[Column8]]</f>
        <v>5.9253179536230563E-2</v>
      </c>
      <c r="O97">
        <f>Samples_for_P_analysis[[#This Row],[Column9]]*1000</f>
        <v>59.253179536230562</v>
      </c>
    </row>
    <row r="98" spans="1:15">
      <c r="A98" s="5" t="s">
        <v>138</v>
      </c>
      <c r="B98" s="10">
        <v>1.002</v>
      </c>
      <c r="C98" s="51">
        <v>0.114777</v>
      </c>
      <c r="D98" s="68">
        <f>(Samples_for_P_analysis[[#This Row],[Column3]]*50/1000)/Samples_for_P_analysis[[#This Row],[Column2]]</f>
        <v>5.7273952095808385E-3</v>
      </c>
      <c r="E98" s="58">
        <v>0.11655074806450499</v>
      </c>
      <c r="G98" s="68"/>
      <c r="I98" s="81"/>
      <c r="J98" s="71">
        <v>2.2864610883046033</v>
      </c>
      <c r="K98" s="71">
        <f>Samples_for_P_analysis[[#This Row],[Column5]]-$J$102</f>
        <v>2.2801664070622327</v>
      </c>
      <c r="L98">
        <f>(Samples_for_P_analysis[[#This Row],[Column11]]*45/1000)/Samples_for_P_analysis[[#This Row],[Column2]]</f>
        <v>0.10240268295189668</v>
      </c>
      <c r="M98" t="s">
        <v>3</v>
      </c>
      <c r="N98" s="88">
        <f>Samples_for_P_analysis[[#This Row],[Column32]]+Samples_for_P_analysis[[#This Row],[Column4]]+Samples_for_P_analysis[[#This Row],[Column42]]+Samples_for_P_analysis[[#This Row],[Column8]]</f>
        <v>0.10813007816147752</v>
      </c>
      <c r="O98">
        <f>Samples_for_P_analysis[[#This Row],[Column9]]*1000</f>
        <v>108.13007816147751</v>
      </c>
    </row>
    <row r="99" spans="1:15">
      <c r="A99" s="5" t="s">
        <v>139</v>
      </c>
      <c r="B99" s="10">
        <v>1.0029999999999999</v>
      </c>
      <c r="C99" s="51">
        <v>0.19001970000000001</v>
      </c>
      <c r="D99" s="68">
        <f>(Samples_for_P_analysis[[#This Row],[Column3]]*50/1000)/Samples_for_P_analysis[[#This Row],[Column2]]</f>
        <v>9.4725672981056837E-3</v>
      </c>
      <c r="E99" s="58">
        <v>0.264027049522914</v>
      </c>
      <c r="F99" s="58">
        <f>Samples_for_P_analysis[[#This Row],[Column7]]-$E$102</f>
        <v>6.6853284816323993E-2</v>
      </c>
      <c r="G99" s="68">
        <f>(Samples_for_P_analysis[[#This Row],[Column12]]*50/1000)/Samples_for_P_analysis[[#This Row],[Column2]]</f>
        <v>3.3326662420899299E-3</v>
      </c>
      <c r="I99" s="81"/>
      <c r="J99" s="71">
        <v>1.1820806552290599</v>
      </c>
      <c r="K99" s="71">
        <f>Samples_for_P_analysis[[#This Row],[Column5]]-$J$102</f>
        <v>1.1757859739866896</v>
      </c>
      <c r="L99">
        <f>(Samples_for_P_analysis[[#This Row],[Column11]]*45/1000)/Samples_for_P_analysis[[#This Row],[Column2]]</f>
        <v>5.2752112491925254E-2</v>
      </c>
      <c r="M99" t="s">
        <v>3</v>
      </c>
      <c r="N99" s="88">
        <f>Samples_for_P_analysis[[#This Row],[Column32]]+Samples_for_P_analysis[[#This Row],[Column4]]+Samples_for_P_analysis[[#This Row],[Column42]]+Samples_for_P_analysis[[#This Row],[Column8]]</f>
        <v>6.5557346032120864E-2</v>
      </c>
      <c r="O99">
        <f>Samples_for_P_analysis[[#This Row],[Column9]]*1000</f>
        <v>65.557346032120861</v>
      </c>
    </row>
    <row r="100" spans="1:15">
      <c r="A100" s="24" t="s">
        <v>267</v>
      </c>
      <c r="B100" s="25">
        <v>1.0089999999999999</v>
      </c>
      <c r="C100" s="53">
        <v>0.33922980000000003</v>
      </c>
      <c r="D100" s="43">
        <f>(Samples_for_P_analysis[[#This Row],[Column3]]*50/1000)/Samples_for_P_analysis[[#This Row],[Column2]]</f>
        <v>1.6810198216055505E-2</v>
      </c>
      <c r="E100" s="59">
        <v>5.4787591659620299E-2</v>
      </c>
      <c r="G100" s="68"/>
      <c r="H100" s="59"/>
      <c r="I100" s="83">
        <f>(Samples_for_P_analysis[[#This Row],[Column43]]*50/1000)/Samples_for_P_analysis[[#This Row],[Column2]]</f>
        <v>0</v>
      </c>
      <c r="J100" s="72">
        <v>5.8022559178264776</v>
      </c>
      <c r="K100" s="71">
        <f>Samples_for_P_analysis[[#This Row],[Column5]]-$J$102</f>
        <v>5.7959612365841071</v>
      </c>
      <c r="L100">
        <f>(Samples_for_P_analysis[[#This Row],[Column11]]*45/1000)/Samples_for_P_analysis[[#This Row],[Column2]]</f>
        <v>0.25849182918363212</v>
      </c>
      <c r="N100" s="88">
        <f>Samples_for_P_analysis[[#This Row],[Column32]]+Samples_for_P_analysis[[#This Row],[Column4]]+Samples_for_P_analysis[[#This Row],[Column42]]+Samples_for_P_analysis[[#This Row],[Column8]]</f>
        <v>0.27530202739968762</v>
      </c>
      <c r="O100">
        <f>Samples_for_P_analysis[[#This Row],[Column9]]*1000</f>
        <v>275.30202739968763</v>
      </c>
    </row>
    <row r="101" spans="1:15">
      <c r="A101" s="24" t="s">
        <v>268</v>
      </c>
      <c r="B101" s="25">
        <v>1.0009999999999999</v>
      </c>
      <c r="C101" s="53">
        <v>0.35835929999999999</v>
      </c>
      <c r="D101" s="43">
        <f>(Samples_for_P_analysis[[#This Row],[Column3]]*50/1000)/Samples_for_P_analysis[[#This Row],[Column2]]</f>
        <v>1.7900064935064935E-2</v>
      </c>
      <c r="E101" s="59">
        <v>4.8631064855288599E-2</v>
      </c>
      <c r="G101" s="68"/>
      <c r="H101" s="59"/>
      <c r="I101" s="83">
        <f>(Samples_for_P_analysis[[#This Row],[Column43]]*50/1000)/Samples_for_P_analysis[[#This Row],[Column2]]</f>
        <v>0</v>
      </c>
      <c r="J101" s="72">
        <v>5.6877416437514157</v>
      </c>
      <c r="K101" s="71">
        <f>Samples_for_P_analysis[[#This Row],[Column5]]-$J$102</f>
        <v>5.6814469625090451</v>
      </c>
      <c r="L101">
        <f>(Samples_for_P_analysis[[#This Row],[Column11]]*45/1000)/Samples_for_P_analysis[[#This Row],[Column2]]</f>
        <v>0.25540970360929777</v>
      </c>
      <c r="N101" s="88">
        <f>Samples_for_P_analysis[[#This Row],[Column32]]+Samples_for_P_analysis[[#This Row],[Column4]]+Samples_for_P_analysis[[#This Row],[Column42]]+Samples_for_P_analysis[[#This Row],[Column8]]</f>
        <v>0.27330976854436273</v>
      </c>
      <c r="O101">
        <f>Samples_for_P_analysis[[#This Row],[Column9]]*1000</f>
        <v>273.30976854436273</v>
      </c>
    </row>
    <row r="102" spans="1:15">
      <c r="A102" s="66" t="s">
        <v>269</v>
      </c>
      <c r="B102" s="20">
        <v>0</v>
      </c>
      <c r="C102" s="20">
        <v>0</v>
      </c>
      <c r="D102" s="44"/>
      <c r="E102" s="44">
        <v>0.19717376470659001</v>
      </c>
      <c r="F102" s="58">
        <f>Samples_for_P_analysis[[#This Row],[Column7]]-$E$102</f>
        <v>0</v>
      </c>
      <c r="G102" s="44"/>
      <c r="H102" s="44">
        <v>0</v>
      </c>
      <c r="I102" s="84"/>
      <c r="J102" s="44">
        <v>6.2946812423703528E-3</v>
      </c>
      <c r="K102" s="71">
        <f>Samples_for_P_analysis[[#This Row],[Column5]]-$J$102</f>
        <v>0</v>
      </c>
      <c r="L102" s="22"/>
      <c r="N102" s="88">
        <f>Samples_for_P_analysis[[#This Row],[Column32]]+Samples_for_P_analysis[[#This Row],[Column4]]+Samples_for_P_analysis[[#This Row],[Column42]]+Samples_for_P_analysis[[#This Row],[Column8]]</f>
        <v>0</v>
      </c>
      <c r="O102">
        <f>Samples_for_P_analysis[[#This Row],[Column9]]*1000</f>
        <v>0</v>
      </c>
    </row>
    <row r="103" spans="1:15">
      <c r="A103" s="5" t="s">
        <v>140</v>
      </c>
      <c r="B103" s="14">
        <v>1.0129999999999999</v>
      </c>
      <c r="C103" s="51">
        <v>0.19663760000000002</v>
      </c>
      <c r="D103" s="68">
        <f>(Samples_for_P_analysis[[#This Row],[Column3]]*50/1000)/Samples_for_P_analysis[[#This Row],[Column2]]</f>
        <v>9.705705824284306E-3</v>
      </c>
      <c r="E103" s="58">
        <v>0.100032566772526</v>
      </c>
      <c r="F103" s="58">
        <f>Samples_for_P_analysis[[#This Row],[Column7]]-$E$127</f>
        <v>9.7476508768941789E-2</v>
      </c>
      <c r="G103" s="68">
        <f>(Samples_for_P_analysis[[#This Row],[Column12]]*50/1000)/Samples_for_P_analysis[[#This Row],[Column2]]</f>
        <v>4.8112788138668216E-3</v>
      </c>
      <c r="H103" s="58">
        <v>2.5892200000000001E-2</v>
      </c>
      <c r="I103" s="81">
        <f>(Samples_for_P_analysis[[#This Row],[Column43]]*50/1000)/Samples_for_P_analysis[[#This Row],[Column2]]</f>
        <v>1.2779960513326755E-3</v>
      </c>
      <c r="J103" s="71">
        <v>0.91964133693578631</v>
      </c>
      <c r="L103">
        <f>(Samples_for_P_analysis[[#This Row],[Column5]]*45/1000)/Samples_for_P_analysis[[#This Row],[Column2]]</f>
        <v>4.085277409882565E-2</v>
      </c>
      <c r="M103" t="s">
        <v>3</v>
      </c>
      <c r="N103" s="88">
        <f>Samples_for_P_analysis[[#This Row],[Column32]]+Samples_for_P_analysis[[#This Row],[Column4]]+Samples_for_P_analysis[[#This Row],[Column42]]+Samples_for_P_analysis[[#This Row],[Column8]]</f>
        <v>5.6647754788309454E-2</v>
      </c>
      <c r="O103">
        <f>Samples_for_P_analysis[[#This Row],[Column9]]*1000</f>
        <v>56.647754788309456</v>
      </c>
    </row>
    <row r="104" spans="1:15">
      <c r="A104" s="5" t="s">
        <v>141</v>
      </c>
      <c r="B104" s="14">
        <v>1.0069999999999999</v>
      </c>
      <c r="C104" s="51">
        <v>0.27031680000000002</v>
      </c>
      <c r="D104" s="68">
        <f>(Samples_for_P_analysis[[#This Row],[Column3]]*50/1000)/Samples_for_P_analysis[[#This Row],[Column2]]</f>
        <v>1.3421886792452833E-2</v>
      </c>
      <c r="E104" s="58">
        <v>0.19626677638273701</v>
      </c>
      <c r="F104" s="58">
        <f>Samples_for_P_analysis[[#This Row],[Column7]]-$E$127</f>
        <v>0.1937107183791528</v>
      </c>
      <c r="G104" s="68">
        <f>(Samples_for_P_analysis[[#This Row],[Column12]]*50/1000)/Samples_for_P_analysis[[#This Row],[Column2]]</f>
        <v>9.6182084597394666E-3</v>
      </c>
      <c r="H104" s="58">
        <v>0.27003469999999996</v>
      </c>
      <c r="I104" s="81">
        <f>(Samples_for_P_analysis[[#This Row],[Column43]]*50/1000)/Samples_for_P_analysis[[#This Row],[Column2]]</f>
        <v>1.3407879841112216E-2</v>
      </c>
      <c r="J104" s="71">
        <v>1.8907287090789984</v>
      </c>
      <c r="L104">
        <f>(Samples_for_P_analysis[[#This Row],[Column5]]*45/1000)/Samples_for_P_analysis[[#This Row],[Column2]]</f>
        <v>8.449135244146469E-2</v>
      </c>
      <c r="M104" t="s">
        <v>3</v>
      </c>
      <c r="N104" s="88">
        <f>Samples_for_P_analysis[[#This Row],[Column32]]+Samples_for_P_analysis[[#This Row],[Column4]]+Samples_for_P_analysis[[#This Row],[Column42]]+Samples_for_P_analysis[[#This Row],[Column8]]</f>
        <v>0.1209393275347692</v>
      </c>
      <c r="O104">
        <f>Samples_for_P_analysis[[#This Row],[Column9]]*1000</f>
        <v>120.93932753476921</v>
      </c>
    </row>
    <row r="105" spans="1:15">
      <c r="A105" s="5" t="s">
        <v>142</v>
      </c>
      <c r="B105" s="14">
        <v>1.0680000000000001</v>
      </c>
      <c r="C105" s="51">
        <v>0.88080159999999996</v>
      </c>
      <c r="D105" s="68">
        <f>(Samples_for_P_analysis[[#This Row],[Column3]]*50/1000)/Samples_for_P_analysis[[#This Row],[Column2]]</f>
        <v>4.1236029962546807E-2</v>
      </c>
      <c r="E105" s="58">
        <v>0.38158373009205598</v>
      </c>
      <c r="F105" s="58">
        <f>Samples_for_P_analysis[[#This Row],[Column7]]-$E$127</f>
        <v>0.37902767208847177</v>
      </c>
      <c r="G105" s="68">
        <f>(Samples_for_P_analysis[[#This Row],[Column12]]*50/1000)/Samples_for_P_analysis[[#This Row],[Column2]]</f>
        <v>1.7744741202643809E-2</v>
      </c>
      <c r="H105" s="58">
        <v>2.477131</v>
      </c>
      <c r="I105" s="81">
        <f>(Samples_for_P_analysis[[#This Row],[Column43]]*50/1000)/Samples_for_P_analysis[[#This Row],[Column2]]</f>
        <v>0.11597055243445692</v>
      </c>
      <c r="J105" s="71">
        <v>4.0714086611396416</v>
      </c>
      <c r="L105">
        <f>(Samples_for_P_analysis[[#This Row],[Column5]]*45/1000)/Samples_for_P_analysis[[#This Row],[Column2]]</f>
        <v>0.17154811774464782</v>
      </c>
      <c r="M105" t="s">
        <v>3</v>
      </c>
      <c r="N105" s="88">
        <f>Samples_for_P_analysis[[#This Row],[Column32]]+Samples_for_P_analysis[[#This Row],[Column4]]+Samples_for_P_analysis[[#This Row],[Column42]]+Samples_for_P_analysis[[#This Row],[Column8]]</f>
        <v>0.34649944134429533</v>
      </c>
      <c r="O105">
        <f>Samples_for_P_analysis[[#This Row],[Column9]]*1000</f>
        <v>346.49944134429535</v>
      </c>
    </row>
    <row r="106" spans="1:15">
      <c r="A106" s="5" t="s">
        <v>143</v>
      </c>
      <c r="B106" s="14">
        <v>1.0269999999999999</v>
      </c>
      <c r="C106" s="51">
        <v>0.212426</v>
      </c>
      <c r="D106" s="68">
        <f>(Samples_for_P_analysis[[#This Row],[Column3]]*50/1000)/Samples_for_P_analysis[[#This Row],[Column2]]</f>
        <v>1.0342064264849076E-2</v>
      </c>
      <c r="E106" s="58">
        <v>0.36447188371537298</v>
      </c>
      <c r="F106" s="58">
        <f>Samples_for_P_analysis[[#This Row],[Column7]]-$E$127</f>
        <v>0.36191582571178876</v>
      </c>
      <c r="G106" s="68">
        <f>(Samples_for_P_analysis[[#This Row],[Column12]]*50/1000)/Samples_for_P_analysis[[#This Row],[Column2]]</f>
        <v>1.7620049937282802E-2</v>
      </c>
      <c r="H106" s="58">
        <v>0.28677589999999997</v>
      </c>
      <c r="I106" s="81">
        <f>(Samples_for_P_analysis[[#This Row],[Column43]]*50/1000)/Samples_for_P_analysis[[#This Row],[Column2]]</f>
        <v>1.396182570593963E-2</v>
      </c>
      <c r="J106" s="71">
        <v>1.488441775324195</v>
      </c>
      <c r="L106">
        <f>(Samples_for_P_analysis[[#This Row],[Column5]]*45/1000)/Samples_for_P_analysis[[#This Row],[Column2]]</f>
        <v>6.521896776006697E-2</v>
      </c>
      <c r="M106" t="s">
        <v>3</v>
      </c>
      <c r="N106" s="88">
        <f>Samples_for_P_analysis[[#This Row],[Column32]]+Samples_for_P_analysis[[#This Row],[Column4]]+Samples_for_P_analysis[[#This Row],[Column42]]+Samples_for_P_analysis[[#This Row],[Column8]]</f>
        <v>0.10714290766813847</v>
      </c>
      <c r="O106">
        <f>Samples_for_P_analysis[[#This Row],[Column9]]*1000</f>
        <v>107.14290766813848</v>
      </c>
    </row>
    <row r="107" spans="1:15" s="3" customFormat="1">
      <c r="A107" s="17" t="s">
        <v>144</v>
      </c>
      <c r="B107" s="75">
        <v>1.002</v>
      </c>
      <c r="C107" s="76">
        <v>0.2374243</v>
      </c>
      <c r="D107" s="3">
        <f>(Samples_for_P_analysis[[#This Row],[Column3]]*50/1000)/Samples_for_P_analysis[[#This Row],[Column2]]</f>
        <v>1.1847519960079839E-2</v>
      </c>
      <c r="E107" s="3">
        <v>0.28319473610032903</v>
      </c>
      <c r="F107" s="58">
        <f>Samples_for_P_analysis[[#This Row],[Column7]]-$E$127</f>
        <v>0.28063867809674481</v>
      </c>
      <c r="G107" s="68">
        <f>(Samples_for_P_analysis[[#This Row],[Column12]]*50/1000)/Samples_for_P_analysis[[#This Row],[Column2]]</f>
        <v>1.4003926052731775E-2</v>
      </c>
      <c r="I107" s="82"/>
      <c r="J107" s="3" t="s">
        <v>3</v>
      </c>
      <c r="L107"/>
      <c r="M107" s="3" t="s">
        <v>288</v>
      </c>
      <c r="N107" s="88">
        <f>Samples_for_P_analysis[[#This Row],[Column32]]+Samples_for_P_analysis[[#This Row],[Column4]]+Samples_for_P_analysis[[#This Row],[Column42]]+Samples_for_P_analysis[[#This Row],[Column8]]</f>
        <v>2.5851446012811613E-2</v>
      </c>
      <c r="O107">
        <f>Samples_for_P_analysis[[#This Row],[Column9]]*1000</f>
        <v>25.851446012811614</v>
      </c>
    </row>
    <row r="108" spans="1:15">
      <c r="A108" s="5" t="s">
        <v>145</v>
      </c>
      <c r="B108" s="14">
        <v>1</v>
      </c>
      <c r="C108" s="51">
        <v>0.15716660000000002</v>
      </c>
      <c r="D108" s="68">
        <f>(Samples_for_P_analysis[[#This Row],[Column3]]*50/1000)/Samples_for_P_analysis[[#This Row],[Column2]]</f>
        <v>7.8583300000000002E-3</v>
      </c>
      <c r="E108" s="58">
        <v>8.7164326371686598E-2</v>
      </c>
      <c r="F108" s="58">
        <f>Samples_for_P_analysis[[#This Row],[Column7]]-$E$127</f>
        <v>8.4608268368102382E-2</v>
      </c>
      <c r="G108" s="68">
        <f>(Samples_for_P_analysis[[#This Row],[Column12]]*50/1000)/Samples_for_P_analysis[[#This Row],[Column2]]</f>
        <v>4.2304134184051193E-3</v>
      </c>
      <c r="H108" s="58">
        <v>7.7558999999999987E-3</v>
      </c>
      <c r="I108" s="81">
        <f>(Samples_for_P_analysis[[#This Row],[Column43]]*50/1000)/Samples_for_P_analysis[[#This Row],[Column2]]</f>
        <v>3.8779499999999997E-4</v>
      </c>
      <c r="J108" s="71">
        <v>1.079705706277325</v>
      </c>
      <c r="L108">
        <f>(Samples_for_P_analysis[[#This Row],[Column5]]*45/1000)/Samples_for_P_analysis[[#This Row],[Column2]]</f>
        <v>4.8586756782479625E-2</v>
      </c>
      <c r="M108" t="s">
        <v>3</v>
      </c>
      <c r="N108" s="88">
        <f>Samples_for_P_analysis[[#This Row],[Column32]]+Samples_for_P_analysis[[#This Row],[Column4]]+Samples_for_P_analysis[[#This Row],[Column42]]+Samples_for_P_analysis[[#This Row],[Column8]]</f>
        <v>6.1063295200884743E-2</v>
      </c>
      <c r="O108">
        <f>Samples_for_P_analysis[[#This Row],[Column9]]*1000</f>
        <v>61.063295200884745</v>
      </c>
    </row>
    <row r="109" spans="1:15">
      <c r="A109" s="5" t="s">
        <v>146</v>
      </c>
      <c r="B109" s="14">
        <v>1.0089999999999999</v>
      </c>
      <c r="C109" s="51">
        <v>0.13479969999999999</v>
      </c>
      <c r="D109" s="68">
        <f>(Samples_for_P_analysis[[#This Row],[Column3]]*50/1000)/Samples_for_P_analysis[[#This Row],[Column2]]</f>
        <v>6.6798662041625372E-3</v>
      </c>
      <c r="E109" s="58">
        <v>9.4084922127627493E-2</v>
      </c>
      <c r="F109" s="58">
        <f>Samples_for_P_analysis[[#This Row],[Column7]]-$E$127</f>
        <v>9.1528864124043277E-2</v>
      </c>
      <c r="G109" s="68">
        <f>(Samples_for_P_analysis[[#This Row],[Column12]]*50/1000)/Samples_for_P_analysis[[#This Row],[Column2]]</f>
        <v>4.5356226027771698E-3</v>
      </c>
      <c r="H109" s="58">
        <v>2.4497100000000004E-2</v>
      </c>
      <c r="I109" s="81">
        <f>(Samples_for_P_analysis[[#This Row],[Column43]]*50/1000)/Samples_for_P_analysis[[#This Row],[Column2]]</f>
        <v>1.2139296333002977E-3</v>
      </c>
      <c r="J109" s="71">
        <v>1.1078607949639516</v>
      </c>
      <c r="L109">
        <f>(Samples_for_P_analysis[[#This Row],[Column5]]*45/1000)/Samples_for_P_analysis[[#This Row],[Column2]]</f>
        <v>4.9409054284814499E-2</v>
      </c>
      <c r="M109" t="s">
        <v>3</v>
      </c>
      <c r="N109" s="88">
        <f>Samples_for_P_analysis[[#This Row],[Column32]]+Samples_for_P_analysis[[#This Row],[Column4]]+Samples_for_P_analysis[[#This Row],[Column42]]+Samples_for_P_analysis[[#This Row],[Column8]]</f>
        <v>6.1838472725054508E-2</v>
      </c>
      <c r="O109">
        <f>Samples_for_P_analysis[[#This Row],[Column9]]*1000</f>
        <v>61.838472725054508</v>
      </c>
    </row>
    <row r="110" spans="1:15">
      <c r="A110" s="17" t="s">
        <v>147</v>
      </c>
      <c r="B110" s="75">
        <v>1.012</v>
      </c>
      <c r="C110" s="76">
        <v>0.1269055</v>
      </c>
      <c r="D110" s="3">
        <f>(Samples_for_P_analysis[[#This Row],[Column3]]*50/1000)/Samples_for_P_analysis[[#This Row],[Column2]]</f>
        <v>6.2700345849802368E-3</v>
      </c>
      <c r="E110" s="3">
        <v>0.21976601931891401</v>
      </c>
      <c r="F110" s="58">
        <f>Samples_for_P_analysis[[#This Row],[Column7]]-$E$127</f>
        <v>0.2172099613153298</v>
      </c>
      <c r="G110" s="68">
        <f>(Samples_for_P_analysis[[#This Row],[Column12]]*50/1000)/Samples_for_P_analysis[[#This Row],[Column2]]</f>
        <v>1.0731717456290998E-2</v>
      </c>
      <c r="H110" s="3"/>
      <c r="I110" s="82"/>
      <c r="J110" s="3" t="s">
        <v>3</v>
      </c>
      <c r="K110" s="3"/>
      <c r="L110" s="3"/>
      <c r="M110" s="3" t="s">
        <v>288</v>
      </c>
      <c r="N110" s="88">
        <f>Samples_for_P_analysis[[#This Row],[Column32]]+Samples_for_P_analysis[[#This Row],[Column4]]+Samples_for_P_analysis[[#This Row],[Column42]]+Samples_for_P_analysis[[#This Row],[Column8]]</f>
        <v>1.7001752041271235E-2</v>
      </c>
      <c r="O110">
        <f>Samples_for_P_analysis[[#This Row],[Column9]]*1000</f>
        <v>17.001752041271235</v>
      </c>
    </row>
    <row r="111" spans="1:15">
      <c r="A111" s="17" t="s">
        <v>148</v>
      </c>
      <c r="B111" s="75">
        <v>1</v>
      </c>
      <c r="C111" s="76">
        <v>0.13348399999999999</v>
      </c>
      <c r="D111" s="3">
        <f>(Samples_for_P_analysis[[#This Row],[Column3]]*50/1000)/Samples_for_P_analysis[[#This Row],[Column2]]</f>
        <v>6.6741999999999999E-3</v>
      </c>
      <c r="E111" s="3">
        <v>0.245321102455824</v>
      </c>
      <c r="F111" s="58">
        <f>Samples_for_P_analysis[[#This Row],[Column7]]-$E$127</f>
        <v>0.24276504445223979</v>
      </c>
      <c r="G111" s="68">
        <f>(Samples_for_P_analysis[[#This Row],[Column12]]*50/1000)/Samples_for_P_analysis[[#This Row],[Column2]]</f>
        <v>1.2138252222611988E-2</v>
      </c>
      <c r="H111" s="3"/>
      <c r="I111" s="82"/>
      <c r="J111" s="3" t="s">
        <v>3</v>
      </c>
      <c r="K111" s="3"/>
      <c r="L111" s="3"/>
      <c r="M111" s="3" t="s">
        <v>288</v>
      </c>
      <c r="N111" s="88">
        <f>Samples_for_P_analysis[[#This Row],[Column32]]+Samples_for_P_analysis[[#This Row],[Column4]]+Samples_for_P_analysis[[#This Row],[Column42]]+Samples_for_P_analysis[[#This Row],[Column8]]</f>
        <v>1.8812452222611988E-2</v>
      </c>
      <c r="O111">
        <f>Samples_for_P_analysis[[#This Row],[Column9]]*1000</f>
        <v>18.812452222611988</v>
      </c>
    </row>
    <row r="112" spans="1:15">
      <c r="A112" s="17" t="s">
        <v>149</v>
      </c>
      <c r="B112" s="75">
        <v>1.0169999999999999</v>
      </c>
      <c r="C112" s="76">
        <v>0.29926220000000003</v>
      </c>
      <c r="D112" s="3">
        <f>(Samples_for_P_analysis[[#This Row],[Column3]]*50/1000)/Samples_for_P_analysis[[#This Row],[Column2]]</f>
        <v>1.4712989183874143E-2</v>
      </c>
      <c r="E112" s="3">
        <v>0.200949094424378</v>
      </c>
      <c r="F112" s="58">
        <f>Samples_for_P_analysis[[#This Row],[Column7]]-$E$127</f>
        <v>0.19839303642079378</v>
      </c>
      <c r="G112" s="68">
        <f>(Samples_for_P_analysis[[#This Row],[Column12]]*50/1000)/Samples_for_P_analysis[[#This Row],[Column2]]</f>
        <v>9.7538365988590857E-3</v>
      </c>
      <c r="H112" s="3"/>
      <c r="I112" s="82"/>
      <c r="J112" s="3" t="s">
        <v>3</v>
      </c>
      <c r="K112" s="3"/>
      <c r="L112" s="3"/>
      <c r="M112" s="3" t="s">
        <v>3</v>
      </c>
      <c r="N112" s="88">
        <f>Samples_for_P_analysis[[#This Row],[Column32]]+Samples_for_P_analysis[[#This Row],[Column4]]+Samples_for_P_analysis[[#This Row],[Column42]]+Samples_for_P_analysis[[#This Row],[Column8]]</f>
        <v>2.446682578273323E-2</v>
      </c>
      <c r="O112">
        <f>Samples_for_P_analysis[[#This Row],[Column9]]*1000</f>
        <v>24.466825782733231</v>
      </c>
    </row>
    <row r="113" spans="1:15">
      <c r="A113" s="5" t="s">
        <v>150</v>
      </c>
      <c r="B113" s="14">
        <v>1.0860000000000001</v>
      </c>
      <c r="C113" s="51">
        <v>0.10717000000000002</v>
      </c>
      <c r="D113" s="68">
        <f>(Samples_for_P_analysis[[#This Row],[Column3]]*50/1000)/Samples_for_P_analysis[[#This Row],[Column2]]</f>
        <v>4.9341620626151021E-3</v>
      </c>
      <c r="E113" s="58">
        <v>0.100631728756162</v>
      </c>
      <c r="F113" s="58">
        <f>Samples_for_P_analysis[[#This Row],[Column7]]-$E$127</f>
        <v>9.8075670752577782E-2</v>
      </c>
      <c r="G113" s="68">
        <f>(Samples_for_P_analysis[[#This Row],[Column12]]*50/1000)/Samples_for_P_analysis[[#This Row],[Column2]]</f>
        <v>4.5154544545385712E-3</v>
      </c>
      <c r="H113" s="58">
        <v>0.16400709999999999</v>
      </c>
      <c r="I113" s="81">
        <f>(Samples_for_P_analysis[[#This Row],[Column43]]*50/1000)/Samples_for_P_analysis[[#This Row],[Column2]]</f>
        <v>7.5509714548802932E-3</v>
      </c>
      <c r="J113" s="71">
        <v>1.5446538812246</v>
      </c>
      <c r="L113">
        <f>(Samples_for_P_analysis[[#This Row],[Column5]]*45/1000)/Samples_for_P_analysis[[#This Row],[Column2]]</f>
        <v>6.4004995078367391E-2</v>
      </c>
      <c r="M113" t="s">
        <v>3</v>
      </c>
      <c r="N113" s="88">
        <f>Samples_for_P_analysis[[#This Row],[Column32]]+Samples_for_P_analysis[[#This Row],[Column4]]+Samples_for_P_analysis[[#This Row],[Column42]]+Samples_for_P_analysis[[#This Row],[Column8]]</f>
        <v>8.1005583050401356E-2</v>
      </c>
      <c r="O113">
        <f>Samples_for_P_analysis[[#This Row],[Column9]]*1000</f>
        <v>81.005583050401356</v>
      </c>
    </row>
    <row r="114" spans="1:15">
      <c r="A114" s="5" t="s">
        <v>151</v>
      </c>
      <c r="B114" s="14">
        <v>1.0249999999999999</v>
      </c>
      <c r="C114" s="51">
        <v>0.25452840000000004</v>
      </c>
      <c r="D114" s="68">
        <f>(Samples_for_P_analysis[[#This Row],[Column3]]*50/1000)/Samples_for_P_analysis[[#This Row],[Column2]]</f>
        <v>1.2416019512195125E-2</v>
      </c>
      <c r="E114" s="58">
        <v>0.22546080661292101</v>
      </c>
      <c r="F114" s="58">
        <f>Samples_for_P_analysis[[#This Row],[Column7]]-$E$127</f>
        <v>0.22290474860933679</v>
      </c>
      <c r="G114" s="68">
        <f>(Samples_for_P_analysis[[#This Row],[Column12]]*50/1000)/Samples_for_P_analysis[[#This Row],[Column2]]</f>
        <v>1.087340237118716E-2</v>
      </c>
      <c r="H114" s="58">
        <v>0.19888459999999999</v>
      </c>
      <c r="I114" s="81">
        <f>(Samples_for_P_analysis[[#This Row],[Column43]]*50/1000)/Samples_for_P_analysis[[#This Row],[Column2]]</f>
        <v>9.7016878048780501E-3</v>
      </c>
      <c r="J114" s="71">
        <v>1.5416998217416884</v>
      </c>
      <c r="L114">
        <f>(Samples_for_P_analysis[[#This Row],[Column5]]*45/1000)/Samples_for_P_analysis[[#This Row],[Column2]]</f>
        <v>6.7684382417927791E-2</v>
      </c>
      <c r="M114" t="s">
        <v>3</v>
      </c>
      <c r="N114" s="88">
        <f>Samples_for_P_analysis[[#This Row],[Column32]]+Samples_for_P_analysis[[#This Row],[Column4]]+Samples_for_P_analysis[[#This Row],[Column42]]+Samples_for_P_analysis[[#This Row],[Column8]]</f>
        <v>0.10067549210618812</v>
      </c>
      <c r="O114">
        <f>Samples_for_P_analysis[[#This Row],[Column9]]*1000</f>
        <v>100.67549210618812</v>
      </c>
    </row>
    <row r="115" spans="1:15">
      <c r="A115" s="5" t="s">
        <v>152</v>
      </c>
      <c r="B115" s="14">
        <v>1.002</v>
      </c>
      <c r="C115" s="51">
        <v>0.39004550000000004</v>
      </c>
      <c r="D115" s="68">
        <f>(Samples_for_P_analysis[[#This Row],[Column3]]*50/1000)/Samples_for_P_analysis[[#This Row],[Column2]]</f>
        <v>1.9463348303393212E-2</v>
      </c>
      <c r="E115" s="58">
        <v>0.185789687017508</v>
      </c>
      <c r="F115" s="58">
        <f>Samples_for_P_analysis[[#This Row],[Column7]]-$E$127</f>
        <v>0.18323362901392379</v>
      </c>
      <c r="G115" s="68">
        <f>(Samples_for_P_analysis[[#This Row],[Column12]]*50/1000)/Samples_for_P_analysis[[#This Row],[Column2]]</f>
        <v>9.143394661373443E-3</v>
      </c>
      <c r="H115" s="58">
        <v>0.13331490000000001</v>
      </c>
      <c r="I115" s="81">
        <f>(Samples_for_P_analysis[[#This Row],[Column43]]*50/1000)/Samples_for_P_analysis[[#This Row],[Column2]]</f>
        <v>6.652440119760481E-3</v>
      </c>
      <c r="J115" s="71">
        <v>1.6225379763437682</v>
      </c>
      <c r="L115">
        <f>(Samples_for_P_analysis[[#This Row],[Column5]]*45/1000)/Samples_for_P_analysis[[#This Row],[Column2]]</f>
        <v>7.2868471991486605E-2</v>
      </c>
      <c r="M115" t="s">
        <v>3</v>
      </c>
      <c r="N115" s="88">
        <f>Samples_for_P_analysis[[#This Row],[Column32]]+Samples_for_P_analysis[[#This Row],[Column4]]+Samples_for_P_analysis[[#This Row],[Column42]]+Samples_for_P_analysis[[#This Row],[Column8]]</f>
        <v>0.10812765507601374</v>
      </c>
      <c r="O115">
        <f>Samples_for_P_analysis[[#This Row],[Column9]]*1000</f>
        <v>108.12765507601374</v>
      </c>
    </row>
    <row r="116" spans="1:15">
      <c r="A116" s="17" t="s">
        <v>153</v>
      </c>
      <c r="B116" s="75">
        <v>1.0189999999999999</v>
      </c>
      <c r="C116" s="76">
        <v>9.1381599999999993E-2</v>
      </c>
      <c r="D116" s="3">
        <f>(Samples_for_P_analysis[[#This Row],[Column3]]*50/1000)/Samples_for_P_analysis[[#This Row],[Column2]]</f>
        <v>4.4838861629048089E-3</v>
      </c>
      <c r="E116" s="3">
        <v>9.45961337283443E-2</v>
      </c>
      <c r="F116" s="58">
        <f>Samples_for_P_analysis[[#This Row],[Column7]]-$E$127</f>
        <v>9.2040075724760084E-2</v>
      </c>
      <c r="G116" s="68">
        <f>(Samples_for_P_analysis[[#This Row],[Column12]]*50/1000)/Samples_for_P_analysis[[#This Row],[Column2]]</f>
        <v>4.516196061077532E-3</v>
      </c>
      <c r="H116" s="3"/>
      <c r="I116" s="82"/>
      <c r="J116" s="3" t="s">
        <v>3</v>
      </c>
      <c r="K116" s="3"/>
      <c r="L116" s="3"/>
      <c r="M116" s="3" t="s">
        <v>3</v>
      </c>
      <c r="N116" s="88">
        <f>Samples_for_P_analysis[[#This Row],[Column32]]+Samples_for_P_analysis[[#This Row],[Column4]]+Samples_for_P_analysis[[#This Row],[Column42]]+Samples_for_P_analysis[[#This Row],[Column8]]</f>
        <v>9.0000822239823409E-3</v>
      </c>
      <c r="O116">
        <f>Samples_for_P_analysis[[#This Row],[Column9]]*1000</f>
        <v>9.000082223982341</v>
      </c>
    </row>
    <row r="117" spans="1:15">
      <c r="A117" s="17" t="s">
        <v>155</v>
      </c>
      <c r="B117" s="75">
        <v>1.006</v>
      </c>
      <c r="C117" s="76">
        <v>1.2768273000000001</v>
      </c>
      <c r="D117" s="3">
        <f>(Samples_for_P_analysis[[#This Row],[Column3]]*50/1000)/Samples_for_P_analysis[[#This Row],[Column2]]</f>
        <v>6.3460601391650093E-2</v>
      </c>
      <c r="E117" s="3">
        <v>0.58469409948395701</v>
      </c>
      <c r="F117" s="58">
        <f>Samples_for_P_analysis[[#This Row],[Column7]]-$E$127</f>
        <v>0.58213804148037285</v>
      </c>
      <c r="G117" s="68">
        <f>(Samples_for_P_analysis[[#This Row],[Column12]]*50/1000)/Samples_for_P_analysis[[#This Row],[Column2]]</f>
        <v>2.8933302260455908E-2</v>
      </c>
      <c r="H117" s="3"/>
      <c r="I117" s="82"/>
      <c r="J117" s="3" t="s">
        <v>3</v>
      </c>
      <c r="K117" s="3"/>
      <c r="L117" s="3"/>
      <c r="M117" s="3" t="s">
        <v>3</v>
      </c>
      <c r="N117" s="88">
        <f>Samples_for_P_analysis[[#This Row],[Column32]]+Samples_for_P_analysis[[#This Row],[Column4]]+Samples_for_P_analysis[[#This Row],[Column42]]+Samples_for_P_analysis[[#This Row],[Column8]]</f>
        <v>9.2393903652106008E-2</v>
      </c>
      <c r="O117">
        <f>Samples_for_P_analysis[[#This Row],[Column9]]*1000</f>
        <v>92.393903652106005</v>
      </c>
    </row>
    <row r="118" spans="1:15">
      <c r="A118" s="5" t="s">
        <v>156</v>
      </c>
      <c r="B118" s="14">
        <v>1.0049999999999999</v>
      </c>
      <c r="C118" s="51">
        <v>0.40451820000000005</v>
      </c>
      <c r="D118" s="68">
        <f>(Samples_for_P_analysis[[#This Row],[Column3]]*50/1000)/Samples_for_P_analysis[[#This Row],[Column2]]</f>
        <v>2.0125283582089558E-2</v>
      </c>
      <c r="E118" s="58">
        <v>0.133695575834783</v>
      </c>
      <c r="F118" s="58">
        <f>Samples_for_P_analysis[[#This Row],[Column7]]-$E$127</f>
        <v>0.13113951783119879</v>
      </c>
      <c r="G118" s="68">
        <f>(Samples_for_P_analysis[[#This Row],[Column12]]*50/1000)/Samples_for_P_analysis[[#This Row],[Column2]]</f>
        <v>6.5243541209551639E-3</v>
      </c>
      <c r="H118" s="58">
        <v>3.4262800000000003E-2</v>
      </c>
      <c r="I118" s="81">
        <f>(Samples_for_P_analysis[[#This Row],[Column43]]*50/1000)/Samples_for_P_analysis[[#This Row],[Column2]]</f>
        <v>1.7046169154228859E-3</v>
      </c>
      <c r="J118" s="71">
        <v>1.9062199865055647</v>
      </c>
      <c r="L118">
        <f>(Samples_for_P_analysis[[#This Row],[Column5]]*45/1000)/Samples_for_P_analysis[[#This Row],[Column2]]</f>
        <v>8.5353133724129768E-2</v>
      </c>
      <c r="M118" t="s">
        <v>3</v>
      </c>
      <c r="N118" s="88">
        <f>Samples_for_P_analysis[[#This Row],[Column32]]+Samples_for_P_analysis[[#This Row],[Column4]]+Samples_for_P_analysis[[#This Row],[Column42]]+Samples_for_P_analysis[[#This Row],[Column8]]</f>
        <v>0.11370738834259737</v>
      </c>
      <c r="O118">
        <f>Samples_for_P_analysis[[#This Row],[Column9]]*1000</f>
        <v>113.70738834259737</v>
      </c>
    </row>
    <row r="119" spans="1:15">
      <c r="A119" s="18" t="s">
        <v>157</v>
      </c>
      <c r="B119" s="78">
        <v>1.034</v>
      </c>
      <c r="C119" s="7">
        <v>0.30452500000000005</v>
      </c>
      <c r="D119" s="79">
        <f>(Samples_for_P_analysis[[#This Row],[Column3]]*50/1000)/Samples_for_P_analysis[[#This Row],[Column2]]</f>
        <v>1.4725580270793038E-2</v>
      </c>
      <c r="E119" s="79">
        <v>0.218924993782251</v>
      </c>
      <c r="F119" s="58">
        <f>Samples_for_P_analysis[[#This Row],[Column7]]-$E$127</f>
        <v>0.21636893577866678</v>
      </c>
      <c r="G119" s="68">
        <f>(Samples_for_P_analysis[[#This Row],[Column12]]*50/1000)/Samples_for_P_analysis[[#This Row],[Column2]]</f>
        <v>1.0462714496067059E-2</v>
      </c>
      <c r="H119" s="79"/>
      <c r="I119" s="85"/>
      <c r="J119" s="79" t="s">
        <v>3</v>
      </c>
      <c r="K119" s="79"/>
      <c r="L119" s="79"/>
      <c r="M119" s="79" t="s">
        <v>289</v>
      </c>
      <c r="N119" s="88">
        <f>Samples_for_P_analysis[[#This Row],[Column32]]+Samples_for_P_analysis[[#This Row],[Column4]]+Samples_for_P_analysis[[#This Row],[Column42]]+Samples_for_P_analysis[[#This Row],[Column8]]</f>
        <v>2.5188294766860096E-2</v>
      </c>
      <c r="O119">
        <f>Samples_for_P_analysis[[#This Row],[Column9]]*1000</f>
        <v>25.188294766860096</v>
      </c>
    </row>
    <row r="120" spans="1:15">
      <c r="A120" s="5" t="s">
        <v>154</v>
      </c>
      <c r="B120" s="14">
        <v>1.0029999999999999</v>
      </c>
      <c r="C120" s="51">
        <v>9.1381599999999993E-2</v>
      </c>
      <c r="D120" s="68">
        <f>(Samples_for_P_analysis[[#This Row],[Column3]]*50/1000)/Samples_for_P_analysis[[#This Row],[Column2]]</f>
        <v>4.5554137587238289E-3</v>
      </c>
      <c r="E120" s="58">
        <v>9.6646477030144007E-2</v>
      </c>
      <c r="F120" s="58">
        <f>Samples_for_P_analysis[[#This Row],[Column7]]-$E$127</f>
        <v>9.4090419026559791E-2</v>
      </c>
      <c r="G120" s="68">
        <f>(Samples_for_P_analysis[[#This Row],[Column12]]*50/1000)/Samples_for_P_analysis[[#This Row],[Column2]]</f>
        <v>4.6904496025204287E-3</v>
      </c>
      <c r="H120" s="58">
        <v>6.3559900000000003E-2</v>
      </c>
      <c r="I120" s="81">
        <f>(Samples_for_P_analysis[[#This Row],[Column43]]*50/1000)/Samples_for_P_analysis[[#This Row],[Column2]]</f>
        <v>3.1684895314057831E-3</v>
      </c>
      <c r="J120" s="71">
        <v>1.8471042961827899</v>
      </c>
      <c r="L120">
        <f>(Samples_for_P_analysis[[#This Row],[Column5]]*45/1000)/Samples_for_P_analysis[[#This Row],[Column2]]</f>
        <v>8.2871080087961679E-2</v>
      </c>
      <c r="M120" t="s">
        <v>3</v>
      </c>
      <c r="N120" s="88">
        <f>Samples_for_P_analysis[[#This Row],[Column32]]+Samples_for_P_analysis[[#This Row],[Column4]]+Samples_for_P_analysis[[#This Row],[Column42]]+Samples_for_P_analysis[[#This Row],[Column8]]</f>
        <v>9.528543298061172E-2</v>
      </c>
      <c r="O120">
        <f>Samples_for_P_analysis[[#This Row],[Column9]]*1000</f>
        <v>95.285432980611716</v>
      </c>
    </row>
    <row r="121" spans="1:15">
      <c r="A121" s="17" t="s">
        <v>158</v>
      </c>
      <c r="B121" s="75">
        <v>1.0189999999999999</v>
      </c>
      <c r="C121" s="76">
        <v>0.18084920000000002</v>
      </c>
      <c r="D121" s="3">
        <f>(Samples_for_P_analysis[[#This Row],[Column3]]*50/1000)/Samples_for_P_analysis[[#This Row],[Column2]]</f>
        <v>8.873856722276743E-3</v>
      </c>
      <c r="E121" s="3">
        <v>0.24358957929210501</v>
      </c>
      <c r="F121" s="58">
        <f>Samples_for_P_analysis[[#This Row],[Column7]]-$E$127</f>
        <v>0.24103352128852079</v>
      </c>
      <c r="G121" s="68">
        <f>(Samples_for_P_analysis[[#This Row],[Column12]]*50/1000)/Samples_for_P_analysis[[#This Row],[Column2]]</f>
        <v>1.1826963753116822E-2</v>
      </c>
      <c r="H121" s="3"/>
      <c r="I121" s="82"/>
      <c r="J121" s="3" t="s">
        <v>3</v>
      </c>
      <c r="K121" s="3"/>
      <c r="L121" s="3"/>
      <c r="M121" s="3" t="s">
        <v>289</v>
      </c>
      <c r="N121" s="88">
        <f>Samples_for_P_analysis[[#This Row],[Column32]]+Samples_for_P_analysis[[#This Row],[Column4]]+Samples_for_P_analysis[[#This Row],[Column42]]+Samples_for_P_analysis[[#This Row],[Column8]]</f>
        <v>2.0700820475393567E-2</v>
      </c>
      <c r="O121">
        <f>Samples_for_P_analysis[[#This Row],[Column9]]*1000</f>
        <v>20.700820475393567</v>
      </c>
    </row>
    <row r="122" spans="1:15">
      <c r="A122" s="17" t="s">
        <v>159</v>
      </c>
      <c r="B122" s="75">
        <v>1.016</v>
      </c>
      <c r="C122" s="76">
        <v>0.62292440000000004</v>
      </c>
      <c r="D122" s="3">
        <f>(Samples_for_P_analysis[[#This Row],[Column3]]*50/1000)/Samples_for_P_analysis[[#This Row],[Column2]]</f>
        <v>3.0655728346456693E-2</v>
      </c>
      <c r="E122" s="3">
        <v>0.51101514644801305</v>
      </c>
      <c r="F122" s="58">
        <f>Samples_for_P_analysis[[#This Row],[Column7]]-$E$127</f>
        <v>0.50845908844442889</v>
      </c>
      <c r="G122" s="68">
        <f>(Samples_for_P_analysis[[#This Row],[Column12]]*50/1000)/Samples_for_P_analysis[[#This Row],[Column2]]</f>
        <v>2.5022592935257326E-2</v>
      </c>
      <c r="H122" s="3"/>
      <c r="I122" s="82"/>
      <c r="J122" s="3" t="s">
        <v>3</v>
      </c>
      <c r="K122" s="3"/>
      <c r="L122" s="3"/>
      <c r="M122" s="3" t="s">
        <v>289</v>
      </c>
      <c r="N122" s="88">
        <f>Samples_for_P_analysis[[#This Row],[Column32]]+Samples_for_P_analysis[[#This Row],[Column4]]+Samples_for_P_analysis[[#This Row],[Column42]]+Samples_for_P_analysis[[#This Row],[Column8]]</f>
        <v>5.5678321281714016E-2</v>
      </c>
      <c r="O122">
        <f>Samples_for_P_analysis[[#This Row],[Column9]]*1000</f>
        <v>55.67832128171402</v>
      </c>
    </row>
    <row r="123" spans="1:15">
      <c r="A123" s="17" t="s">
        <v>160</v>
      </c>
      <c r="B123" s="75">
        <v>1.0029999999999999</v>
      </c>
      <c r="C123" s="76">
        <v>0.30057790000000006</v>
      </c>
      <c r="D123" s="3">
        <f>(Samples_for_P_analysis[[#This Row],[Column3]]*50/1000)/Samples_for_P_analysis[[#This Row],[Column2]]</f>
        <v>1.498394317048854E-2</v>
      </c>
      <c r="E123" s="3">
        <v>0.28282916427850502</v>
      </c>
      <c r="F123" s="58">
        <f>Samples_for_P_analysis[[#This Row],[Column7]]-$E$127</f>
        <v>0.2802731062749208</v>
      </c>
      <c r="G123" s="68">
        <f>(Samples_for_P_analysis[[#This Row],[Column12]]*50/1000)/Samples_for_P_analysis[[#This Row],[Column2]]</f>
        <v>1.3971740093465647E-2</v>
      </c>
      <c r="H123" s="3"/>
      <c r="I123" s="82"/>
      <c r="J123" s="3" t="s">
        <v>3</v>
      </c>
      <c r="K123" s="3"/>
      <c r="L123" s="3"/>
      <c r="M123" s="3" t="s">
        <v>3</v>
      </c>
      <c r="N123" s="88">
        <f>Samples_for_P_analysis[[#This Row],[Column32]]+Samples_for_P_analysis[[#This Row],[Column4]]+Samples_for_P_analysis[[#This Row],[Column42]]+Samples_for_P_analysis[[#This Row],[Column8]]</f>
        <v>2.8955683263954188E-2</v>
      </c>
      <c r="O123">
        <f>Samples_for_P_analysis[[#This Row],[Column9]]*1000</f>
        <v>28.955683263954189</v>
      </c>
    </row>
    <row r="124" spans="1:15">
      <c r="A124" s="5" t="s">
        <v>161</v>
      </c>
      <c r="B124" s="14">
        <v>1.1040000000000001</v>
      </c>
      <c r="C124" s="51">
        <v>0.40057110000000007</v>
      </c>
      <c r="D124" s="68">
        <f>(Samples_for_P_analysis[[#This Row],[Column3]]*50/1000)/Samples_for_P_analysis[[#This Row],[Column2]]</f>
        <v>1.8141807065217393E-2</v>
      </c>
      <c r="E124" s="58">
        <v>0.28985148070751299</v>
      </c>
      <c r="F124" s="58">
        <f>Samples_for_P_analysis[[#This Row],[Column7]]-$E$127</f>
        <v>0.28729542270392877</v>
      </c>
      <c r="G124" s="68">
        <f>(Samples_for_P_analysis[[#This Row],[Column12]]*50/1000)/Samples_for_P_analysis[[#This Row],[Column2]]</f>
        <v>1.3011568057243149E-2</v>
      </c>
      <c r="H124" s="58">
        <v>0.44302710000000001</v>
      </c>
      <c r="I124" s="81">
        <f>(Samples_for_P_analysis[[#This Row],[Column43]]*50/1000)/Samples_for_P_analysis[[#This Row],[Column2]]</f>
        <v>2.0064633152173911E-2</v>
      </c>
      <c r="J124" s="71">
        <v>2.2444460251081915</v>
      </c>
      <c r="L124">
        <f>(Samples_for_P_analysis[[#This Row],[Column5]]*45/1000)/Samples_for_P_analysis[[#This Row],[Column2]]</f>
        <v>9.1485571675605615E-2</v>
      </c>
      <c r="M124" t="s">
        <v>3</v>
      </c>
      <c r="N124" s="88">
        <f>Samples_for_P_analysis[[#This Row],[Column32]]+Samples_for_P_analysis[[#This Row],[Column4]]+Samples_for_P_analysis[[#This Row],[Column42]]+Samples_for_P_analysis[[#This Row],[Column8]]</f>
        <v>0.14270357995024008</v>
      </c>
      <c r="O124">
        <f>Samples_for_P_analysis[[#This Row],[Column9]]*1000</f>
        <v>142.70357995024008</v>
      </c>
    </row>
    <row r="125" spans="1:15">
      <c r="A125" s="24" t="s">
        <v>273</v>
      </c>
      <c r="B125" s="30">
        <v>1.0229999999999999</v>
      </c>
      <c r="C125" s="53">
        <v>0.36636290000000005</v>
      </c>
      <c r="D125" s="43">
        <f>(Samples_for_P_analysis[[#This Row],[Column3]]*50/1000)/Samples_for_P_analysis[[#This Row],[Column2]]</f>
        <v>1.7906300097751713E-2</v>
      </c>
      <c r="E125" s="59">
        <v>5.15334274916164E-2</v>
      </c>
      <c r="F125" s="58">
        <f>Samples_for_P_analysis[[#This Row],[Column7]]-$E$127</f>
        <v>4.8977369488032191E-2</v>
      </c>
      <c r="G125" s="68">
        <f>(Samples_for_P_analysis[[#This Row],[Column12]]*50/1000)/Samples_for_P_analysis[[#This Row],[Column2]]</f>
        <v>2.3938108254170183E-3</v>
      </c>
      <c r="H125" s="59">
        <v>0.14447570000000001</v>
      </c>
      <c r="I125" s="83">
        <f>(Samples_for_P_analysis[[#This Row],[Column43]]*50/1000)/Samples_for_P_analysis[[#This Row],[Column2]]</f>
        <v>7.0613734115347023E-3</v>
      </c>
      <c r="J125" s="72">
        <v>5.1674785684911582</v>
      </c>
      <c r="K125" s="72"/>
      <c r="L125" s="26">
        <f>(Samples_for_P_analysis[[#This Row],[Column5]]*45/1000)/Samples_for_P_analysis[[#This Row],[Column2]]</f>
        <v>0.22730844142922985</v>
      </c>
      <c r="N125" s="88">
        <f>Samples_for_P_analysis[[#This Row],[Column32]]+Samples_for_P_analysis[[#This Row],[Column4]]+Samples_for_P_analysis[[#This Row],[Column42]]+Samples_for_P_analysis[[#This Row],[Column8]]</f>
        <v>0.25466992576393327</v>
      </c>
      <c r="O125">
        <f>Samples_for_P_analysis[[#This Row],[Column9]]*1000</f>
        <v>254.66992576393326</v>
      </c>
    </row>
    <row r="126" spans="1:15">
      <c r="A126" s="24" t="s">
        <v>274</v>
      </c>
      <c r="B126" s="30">
        <v>1.034</v>
      </c>
      <c r="C126" s="53">
        <v>0.37294140000000003</v>
      </c>
      <c r="D126" s="43">
        <f>(Samples_for_P_analysis[[#This Row],[Column3]]*50/1000)/Samples_for_P_analysis[[#This Row],[Column2]]</f>
        <v>1.8033916827852998E-2</v>
      </c>
      <c r="E126" s="59">
        <v>5.2544856895185198E-2</v>
      </c>
      <c r="F126" s="58">
        <f>Samples_for_P_analysis[[#This Row],[Column7]]-$E$127</f>
        <v>4.9988798891600988E-2</v>
      </c>
      <c r="G126" s="68">
        <f>(Samples_for_P_analysis[[#This Row],[Column12]]*50/1000)/Samples_for_P_analysis[[#This Row],[Column2]]</f>
        <v>2.4172533313153283E-3</v>
      </c>
      <c r="H126" s="59">
        <v>0.1500561</v>
      </c>
      <c r="I126" s="83">
        <f>(Samples_for_P_analysis[[#This Row],[Column43]]*50/1000)/Samples_for_P_analysis[[#This Row],[Column2]]</f>
        <v>7.2560976789168268E-3</v>
      </c>
      <c r="J126" s="72">
        <v>5.2682047648669483</v>
      </c>
      <c r="K126" s="72"/>
      <c r="L126" s="26">
        <f>(Samples_for_P_analysis[[#This Row],[Column5]]*45/1000)/Samples_for_P_analysis[[#This Row],[Column2]]</f>
        <v>0.22927390175919984</v>
      </c>
      <c r="N126" s="88">
        <f>Samples_for_P_analysis[[#This Row],[Column32]]+Samples_for_P_analysis[[#This Row],[Column4]]+Samples_for_P_analysis[[#This Row],[Column42]]+Samples_for_P_analysis[[#This Row],[Column8]]</f>
        <v>0.25698116959728501</v>
      </c>
      <c r="O126">
        <f>Samples_for_P_analysis[[#This Row],[Column9]]*1000</f>
        <v>256.98116959728503</v>
      </c>
    </row>
    <row r="127" spans="1:15">
      <c r="A127" s="66" t="s">
        <v>275</v>
      </c>
      <c r="B127" s="20">
        <v>0</v>
      </c>
      <c r="C127" s="20">
        <v>-1.5190100000000002E-2</v>
      </c>
      <c r="D127" s="44"/>
      <c r="E127" s="44">
        <v>2.5560580035842101E-3</v>
      </c>
      <c r="F127" s="58">
        <f>Samples_for_P_analysis[[#This Row],[Column7]]-$E$127</f>
        <v>0</v>
      </c>
      <c r="G127" s="44"/>
      <c r="H127" s="44">
        <v>-6.1469999999999927E-4</v>
      </c>
      <c r="I127" s="84"/>
      <c r="J127" s="74">
        <v>-3.6586866271322065E-2</v>
      </c>
      <c r="K127" s="74"/>
      <c r="L127" s="22"/>
      <c r="N127" s="88">
        <f>Samples_for_P_analysis[[#This Row],[Column32]]+Samples_for_P_analysis[[#This Row],[Column4]]+Samples_for_P_analysis[[#This Row],[Column42]]+Samples_for_P_analysis[[#This Row],[Column8]]</f>
        <v>0</v>
      </c>
      <c r="O127">
        <f>Samples_for_P_analysis[[#This Row],[Column9]]*1000</f>
        <v>0</v>
      </c>
    </row>
    <row r="128" spans="1:15">
      <c r="A128" s="5" t="s">
        <v>162</v>
      </c>
      <c r="B128" s="10">
        <v>1.0209999999999999</v>
      </c>
      <c r="C128" s="51">
        <v>0.53023650000000011</v>
      </c>
      <c r="D128" s="68">
        <f>(Samples_for_P_analysis[[#This Row],[Column3]]*50/1000)/Samples_for_P_analysis[[#This Row],[Column2]]</f>
        <v>2.596652791381E-2</v>
      </c>
      <c r="E128" s="58">
        <v>0.28359600972239701</v>
      </c>
      <c r="G128" s="68">
        <f>(Samples_for_P_analysis[[#This Row],[Column7]]*50/1000)/Samples_for_P_analysis[[#This Row],[Column2]]</f>
        <v>1.3888149349774585E-2</v>
      </c>
      <c r="H128" s="58">
        <v>3.4476209999999998</v>
      </c>
      <c r="I128" s="81">
        <f>(Samples_for_P_analysis[[#This Row],[Column43]]*50/1000)/Samples_for_P_analysis[[#This Row],[Column2]]</f>
        <v>0.16883550440744369</v>
      </c>
      <c r="J128" s="71">
        <v>1.2749733851175049</v>
      </c>
      <c r="L128">
        <f>(Samples_for_P_analysis[[#This Row],[Column5]]*45/1000)/Samples_for_P_analysis[[#This Row],[Column2]]</f>
        <v>5.6193733918009525E-2</v>
      </c>
      <c r="M128" t="s">
        <v>3</v>
      </c>
      <c r="N128" s="88">
        <f>Samples_for_P_analysis[[#This Row],[Column32]]+Samples_for_P_analysis[[#This Row],[Column4]]+Samples_for_P_analysis[[#This Row],[Column42]]+Samples_for_P_analysis[[#This Row],[Column8]]</f>
        <v>0.26488391558903779</v>
      </c>
      <c r="O128">
        <f>Samples_for_P_analysis[[#This Row],[Column9]]*1000</f>
        <v>264.88391558903777</v>
      </c>
    </row>
    <row r="129" spans="1:15">
      <c r="A129" s="5" t="s">
        <v>163</v>
      </c>
      <c r="B129" s="10">
        <v>1.0369999999999999</v>
      </c>
      <c r="C129" s="51">
        <v>0.67303750000000007</v>
      </c>
      <c r="D129" s="68">
        <f>(Samples_for_P_analysis[[#This Row],[Column3]]*50/1000)/Samples_for_P_analysis[[#This Row],[Column2]]</f>
        <v>3.2451181292189012E-2</v>
      </c>
      <c r="E129" s="58">
        <v>0.416258168557882</v>
      </c>
      <c r="G129" s="68">
        <f>(Samples_for_P_analysis[[#This Row],[Column7]]*50/1000)/Samples_for_P_analysis[[#This Row],[Column2]]</f>
        <v>2.007030706643597E-2</v>
      </c>
      <c r="H129" s="58">
        <v>0.80996349999999995</v>
      </c>
      <c r="I129" s="81">
        <f>(Samples_for_P_analysis[[#This Row],[Column43]]*50/1000)/Samples_for_P_analysis[[#This Row],[Column2]]</f>
        <v>3.9053206364513017E-2</v>
      </c>
      <c r="J129" s="71">
        <v>2.1092597524806518</v>
      </c>
      <c r="L129">
        <f>(Samples_for_P_analysis[[#This Row],[Column5]]*45/1000)/Samples_for_P_analysis[[#This Row],[Column2]]</f>
        <v>9.1530076047858566E-2</v>
      </c>
      <c r="M129" t="s">
        <v>3</v>
      </c>
      <c r="N129" s="88">
        <f>Samples_for_P_analysis[[#This Row],[Column32]]+Samples_for_P_analysis[[#This Row],[Column4]]+Samples_for_P_analysis[[#This Row],[Column42]]+Samples_for_P_analysis[[#This Row],[Column8]]</f>
        <v>0.18310477077099657</v>
      </c>
      <c r="O129">
        <f>Samples_for_P_analysis[[#This Row],[Column9]]*1000</f>
        <v>183.10477077099657</v>
      </c>
    </row>
    <row r="130" spans="1:15">
      <c r="A130" s="5" t="s">
        <v>164</v>
      </c>
      <c r="B130" s="10">
        <v>1.0880000000000001</v>
      </c>
      <c r="C130" s="51">
        <v>0.41201599999999999</v>
      </c>
      <c r="D130" s="68">
        <f>(Samples_for_P_analysis[[#This Row],[Column3]]*50/1000)/Samples_for_P_analysis[[#This Row],[Column2]]</f>
        <v>1.8934558823529408E-2</v>
      </c>
      <c r="E130" s="58">
        <v>0.209200979570767</v>
      </c>
      <c r="G130" s="68">
        <f>(Samples_for_P_analysis[[#This Row],[Column7]]*50/1000)/Samples_for_P_analysis[[#This Row],[Column2]]</f>
        <v>9.6140156052742162E-3</v>
      </c>
      <c r="H130" s="58">
        <v>2.1000459999999999</v>
      </c>
      <c r="I130" s="81">
        <f>(Samples_for_P_analysis[[#This Row],[Column43]]*50/1000)/Samples_for_P_analysis[[#This Row],[Column2]]</f>
        <v>9.6509466911764694E-2</v>
      </c>
      <c r="J130" s="71">
        <v>0.73822643615337624</v>
      </c>
      <c r="L130">
        <f>(Samples_for_P_analysis[[#This Row],[Column5]]*45/1000)/Samples_for_P_analysis[[#This Row],[Column2]]</f>
        <v>3.0533262524726042E-2</v>
      </c>
      <c r="M130" t="s">
        <v>3</v>
      </c>
      <c r="N130" s="88">
        <f>Samples_for_P_analysis[[#This Row],[Column32]]+Samples_for_P_analysis[[#This Row],[Column4]]+Samples_for_P_analysis[[#This Row],[Column42]]+Samples_for_P_analysis[[#This Row],[Column8]]</f>
        <v>0.15559130386529435</v>
      </c>
      <c r="O130">
        <f>Samples_for_P_analysis[[#This Row],[Column9]]*1000</f>
        <v>155.59130386529435</v>
      </c>
    </row>
    <row r="131" spans="1:15">
      <c r="A131" s="5" t="s">
        <v>165</v>
      </c>
      <c r="B131" s="10">
        <v>1.022</v>
      </c>
      <c r="C131" s="51">
        <v>1.7459835000000004</v>
      </c>
      <c r="D131" s="68">
        <f>(Samples_for_P_analysis[[#This Row],[Column3]]*50/1000)/Samples_for_P_analysis[[#This Row],[Column2]]</f>
        <v>8.5419936399217244E-2</v>
      </c>
      <c r="E131" s="58">
        <v>0.45686376097180997</v>
      </c>
      <c r="G131" s="68">
        <f>(Samples_for_P_analysis[[#This Row],[Column7]]*50/1000)/Samples_for_P_analysis[[#This Row],[Column2]]</f>
        <v>2.2351456016233364E-2</v>
      </c>
      <c r="H131" s="58">
        <v>10.504226000000001</v>
      </c>
      <c r="I131" s="81">
        <f>(Samples_for_P_analysis[[#This Row],[Column43]]*50/1000)/Samples_for_P_analysis[[#This Row],[Column2]]</f>
        <v>0.51390538160469668</v>
      </c>
      <c r="J131" s="71">
        <v>2.28021511956281</v>
      </c>
      <c r="L131">
        <f>(Samples_for_P_analysis[[#This Row],[Column5]]*45/1000)/Samples_for_P_analysis[[#This Row],[Column2]]</f>
        <v>0.10040086142889085</v>
      </c>
      <c r="M131" t="s">
        <v>3</v>
      </c>
      <c r="N131" s="88">
        <f>Samples_for_P_analysis[[#This Row],[Column32]]+Samples_for_P_analysis[[#This Row],[Column4]]+Samples_for_P_analysis[[#This Row],[Column42]]+Samples_for_P_analysis[[#This Row],[Column8]]</f>
        <v>0.72207763544903814</v>
      </c>
      <c r="O131">
        <f>Samples_for_P_analysis[[#This Row],[Column9]]*1000</f>
        <v>722.0776354490381</v>
      </c>
    </row>
    <row r="132" spans="1:15">
      <c r="A132" s="5" t="s">
        <v>166</v>
      </c>
      <c r="B132" s="10">
        <v>1.0740000000000001</v>
      </c>
      <c r="C132" s="51">
        <v>0.12056149999999999</v>
      </c>
      <c r="D132" s="68">
        <f>(Samples_for_P_analysis[[#This Row],[Column3]]*50/1000)/Samples_for_P_analysis[[#This Row],[Column2]]</f>
        <v>5.6127327746741144E-3</v>
      </c>
      <c r="E132" s="58">
        <v>0.42213985041559199</v>
      </c>
      <c r="G132" s="68">
        <f>(Samples_for_P_analysis[[#This Row],[Column7]]*50/1000)/Samples_for_P_analysis[[#This Row],[Column2]]</f>
        <v>1.9652693222327371E-2</v>
      </c>
      <c r="H132" s="58">
        <v>0.74045700000000003</v>
      </c>
      <c r="I132" s="81">
        <f>(Samples_for_P_analysis[[#This Row],[Column43]]*50/1000)/Samples_for_P_analysis[[#This Row],[Column2]]</f>
        <v>3.4471927374301672E-2</v>
      </c>
      <c r="J132" s="71">
        <v>0.84005470974766006</v>
      </c>
      <c r="L132">
        <f>(Samples_for_P_analysis[[#This Row],[Column5]]*45/1000)/Samples_for_P_analysis[[#This Row],[Column2]]</f>
        <v>3.5197823034119835E-2</v>
      </c>
      <c r="M132" t="s">
        <v>3</v>
      </c>
      <c r="N132" s="88">
        <f>Samples_for_P_analysis[[#This Row],[Column32]]+Samples_for_P_analysis[[#This Row],[Column4]]+Samples_for_P_analysis[[#This Row],[Column42]]+Samples_for_P_analysis[[#This Row],[Column8]]</f>
        <v>9.4935176405422997E-2</v>
      </c>
      <c r="O132">
        <f>Samples_for_P_analysis[[#This Row],[Column9]]*1000</f>
        <v>94.935176405422993</v>
      </c>
    </row>
    <row r="133" spans="1:15">
      <c r="A133" s="5" t="s">
        <v>167</v>
      </c>
      <c r="B133" s="10">
        <v>1.071</v>
      </c>
      <c r="C133" s="51">
        <v>3.7456000000000003E-2</v>
      </c>
      <c r="D133" s="68">
        <f>(Samples_for_P_analysis[[#This Row],[Column3]]*50/1000)/Samples_for_P_analysis[[#This Row],[Column2]]</f>
        <v>1.7486461251167136E-3</v>
      </c>
      <c r="E133" s="58">
        <v>0.31606069481738203</v>
      </c>
      <c r="G133" s="68">
        <f>(Samples_for_P_analysis[[#This Row],[Column7]]*50/1000)/Samples_for_P_analysis[[#This Row],[Column2]]</f>
        <v>1.4755401251978622E-2</v>
      </c>
      <c r="H133" s="58">
        <v>0.243982</v>
      </c>
      <c r="I133" s="81">
        <f>(Samples_for_P_analysis[[#This Row],[Column43]]*50/1000)/Samples_for_P_analysis[[#This Row],[Column2]]</f>
        <v>1.1390382819794584E-2</v>
      </c>
      <c r="J133" s="71">
        <v>1.3533198399295501</v>
      </c>
      <c r="L133">
        <f>(Samples_for_P_analysis[[#This Row],[Column5]]*45/1000)/Samples_for_P_analysis[[#This Row],[Column2]]</f>
        <v>5.6862178148300427E-2</v>
      </c>
      <c r="M133" t="s">
        <v>3</v>
      </c>
      <c r="N133" s="88">
        <f>Samples_for_P_analysis[[#This Row],[Column32]]+Samples_for_P_analysis[[#This Row],[Column4]]+Samples_for_P_analysis[[#This Row],[Column42]]+Samples_for_P_analysis[[#This Row],[Column8]]</f>
        <v>8.4756608345190346E-2</v>
      </c>
      <c r="O133">
        <f>Samples_for_P_analysis[[#This Row],[Column9]]*1000</f>
        <v>84.756608345190344</v>
      </c>
    </row>
    <row r="134" spans="1:15">
      <c r="A134" s="5" t="s">
        <v>168</v>
      </c>
      <c r="B134" s="13">
        <v>1.02</v>
      </c>
      <c r="C134" s="51">
        <v>4.6819999999999917E-3</v>
      </c>
      <c r="D134" s="68">
        <f>(Samples_for_P_analysis[[#This Row],[Column3]]*50/1000)/Samples_for_P_analysis[[#This Row],[Column2]]</f>
        <v>2.2950980392156823E-4</v>
      </c>
      <c r="E134" s="58">
        <v>0.115247983017517</v>
      </c>
      <c r="G134" s="68">
        <f>(Samples_for_P_analysis[[#This Row],[Column7]]*50/1000)/Samples_for_P_analysis[[#This Row],[Column2]]</f>
        <v>5.649410932231225E-3</v>
      </c>
      <c r="H134" s="58">
        <v>5.5321500000000003E-2</v>
      </c>
      <c r="I134" s="81">
        <f>(Samples_for_P_analysis[[#This Row],[Column43]]*50/1000)/Samples_for_P_analysis[[#This Row],[Column2]]</f>
        <v>2.7118382352941178E-3</v>
      </c>
      <c r="J134" s="71">
        <v>0.90651563400646973</v>
      </c>
      <c r="L134">
        <f>(Samples_for_P_analysis[[#This Row],[Column5]]*45/1000)/Samples_for_P_analysis[[#This Row],[Column2]]</f>
        <v>3.9993336794403075E-2</v>
      </c>
      <c r="M134" t="s">
        <v>3</v>
      </c>
      <c r="N134" s="88">
        <f>Samples_for_P_analysis[[#This Row],[Column32]]+Samples_for_P_analysis[[#This Row],[Column4]]+Samples_for_P_analysis[[#This Row],[Column42]]+Samples_for_P_analysis[[#This Row],[Column8]]</f>
        <v>4.8584095765849988E-2</v>
      </c>
      <c r="O134">
        <f>Samples_for_P_analysis[[#This Row],[Column9]]*1000</f>
        <v>48.584095765849987</v>
      </c>
    </row>
    <row r="135" spans="1:15">
      <c r="A135" s="5" t="s">
        <v>169</v>
      </c>
      <c r="B135" s="10">
        <v>1.0249999999999999</v>
      </c>
      <c r="C135" s="51">
        <v>0.77018900000000012</v>
      </c>
      <c r="D135" s="68">
        <f>(Samples_for_P_analysis[[#This Row],[Column3]]*50/1000)/Samples_for_P_analysis[[#This Row],[Column2]]</f>
        <v>3.7570195121951228E-2</v>
      </c>
      <c r="E135" s="58">
        <v>0.41142639439626799</v>
      </c>
      <c r="G135" s="68">
        <f>(Samples_for_P_analysis[[#This Row],[Column7]]*50/1000)/Samples_for_P_analysis[[#This Row],[Column2]]</f>
        <v>2.0069580214452098E-2</v>
      </c>
      <c r="H135" s="58">
        <v>0.42413149999999999</v>
      </c>
      <c r="I135" s="81">
        <f>(Samples_for_P_analysis[[#This Row],[Column43]]*50/1000)/Samples_for_P_analysis[[#This Row],[Column2]]</f>
        <v>2.0689341463414637E-2</v>
      </c>
      <c r="J135" s="71">
        <v>4.6811952944622215</v>
      </c>
      <c r="L135">
        <f>(Samples_for_P_analysis[[#This Row],[Column5]]*45/1000)/Samples_for_P_analysis[[#This Row],[Column2]]</f>
        <v>0.20551589097639023</v>
      </c>
      <c r="M135" t="s">
        <v>3</v>
      </c>
      <c r="N135" s="88">
        <f>Samples_for_P_analysis[[#This Row],[Column32]]+Samples_for_P_analysis[[#This Row],[Column4]]+Samples_for_P_analysis[[#This Row],[Column42]]+Samples_for_P_analysis[[#This Row],[Column8]]</f>
        <v>0.28384500777620819</v>
      </c>
      <c r="O135">
        <f>Samples_for_P_analysis[[#This Row],[Column9]]*1000</f>
        <v>283.84500777620821</v>
      </c>
    </row>
    <row r="136" spans="1:15">
      <c r="A136" s="5" t="s">
        <v>170</v>
      </c>
      <c r="B136" s="10">
        <v>1.0920000000000001</v>
      </c>
      <c r="C136" s="51">
        <v>0.43776700000000002</v>
      </c>
      <c r="D136" s="68">
        <f>(Samples_for_P_analysis[[#This Row],[Column3]]*50/1000)/Samples_for_P_analysis[[#This Row],[Column2]]</f>
        <v>2.0044276556776559E-2</v>
      </c>
      <c r="E136" s="58">
        <v>0.23126003498664399</v>
      </c>
      <c r="G136" s="68">
        <f>(Samples_for_P_analysis[[#This Row],[Column7]]*50/1000)/Samples_for_P_analysis[[#This Row],[Column2]]</f>
        <v>1.0588829440780403E-2</v>
      </c>
      <c r="H136" s="58">
        <v>0.41703899999999999</v>
      </c>
      <c r="I136" s="81">
        <f>(Samples_for_P_analysis[[#This Row],[Column43]]*50/1000)/Samples_for_P_analysis[[#This Row],[Column2]]</f>
        <v>1.9095192307692303E-2</v>
      </c>
      <c r="J136" s="71">
        <v>5.7576765253467679</v>
      </c>
      <c r="L136">
        <f>(Samples_for_P_analysis[[#This Row],[Column5]]*45/1000)/Samples_for_P_analysis[[#This Row],[Column2]]</f>
        <v>0.23726688978077337</v>
      </c>
      <c r="M136" t="s">
        <v>3</v>
      </c>
      <c r="N136" s="88">
        <f>Samples_for_P_analysis[[#This Row],[Column32]]+Samples_for_P_analysis[[#This Row],[Column4]]+Samples_for_P_analysis[[#This Row],[Column42]]+Samples_for_P_analysis[[#This Row],[Column8]]</f>
        <v>0.28699518808602265</v>
      </c>
      <c r="O136">
        <f>Samples_for_P_analysis[[#This Row],[Column9]]*1000</f>
        <v>286.99518808602267</v>
      </c>
    </row>
    <row r="137" spans="1:15">
      <c r="A137" s="17" t="s">
        <v>171</v>
      </c>
      <c r="B137" s="76">
        <v>1.0229999999999999</v>
      </c>
      <c r="C137" s="76">
        <v>0.54779400000000011</v>
      </c>
      <c r="D137" s="3">
        <f>(Samples_for_P_analysis[[#This Row],[Column3]]*50/1000)/Samples_for_P_analysis[[#This Row],[Column2]]</f>
        <v>2.6773900293255142E-2</v>
      </c>
      <c r="E137" s="3">
        <v>0.75902279838905395</v>
      </c>
      <c r="F137" s="3"/>
      <c r="G137" s="3">
        <f>(Samples_for_P_analysis[[#This Row],[Column7]]*50/1000)/Samples_for_P_analysis[[#This Row],[Column2]]</f>
        <v>3.7097888484313495E-2</v>
      </c>
      <c r="H137" s="3">
        <v>2.3270060000000004</v>
      </c>
      <c r="I137" s="82">
        <f>(Samples_for_P_analysis[[#This Row],[Column43]]*50/1000)/Samples_for_P_analysis[[#This Row],[Column2]]</f>
        <v>0.11373440860215056</v>
      </c>
      <c r="J137" s="3">
        <v>2.6755476893546484</v>
      </c>
      <c r="K137" s="3"/>
      <c r="L137" s="3">
        <f>(Samples_for_P_analysis[[#This Row],[Column5]]*45/1000)/Samples_for_P_analysis[[#This Row],[Column2]]</f>
        <v>0.11769271360797574</v>
      </c>
      <c r="M137" s="3" t="s">
        <v>289</v>
      </c>
      <c r="N137" s="88">
        <f>Samples_for_P_analysis[[#This Row],[Column32]]+Samples_for_P_analysis[[#This Row],[Column4]]+Samples_for_P_analysis[[#This Row],[Column42]]+Samples_for_P_analysis[[#This Row],[Column8]]</f>
        <v>0.29529891098769495</v>
      </c>
      <c r="O137">
        <f>Samples_for_P_analysis[[#This Row],[Column9]]*1000</f>
        <v>295.29891098769497</v>
      </c>
    </row>
    <row r="138" spans="1:15">
      <c r="A138" s="17" t="s">
        <v>172</v>
      </c>
      <c r="B138" s="80">
        <v>1.06</v>
      </c>
      <c r="C138" s="76">
        <v>0.9937545000000001</v>
      </c>
      <c r="D138" s="3">
        <f>(Samples_for_P_analysis[[#This Row],[Column3]]*50/1000)/Samples_for_P_analysis[[#This Row],[Column2]]</f>
        <v>4.6875212264150951E-2</v>
      </c>
      <c r="E138" s="3">
        <v>0.52755388124297697</v>
      </c>
      <c r="F138" s="3"/>
      <c r="G138" s="3">
        <f>(Samples_for_P_analysis[[#This Row],[Column7]]*50/1000)/Samples_for_P_analysis[[#This Row],[Column2]]</f>
        <v>2.4884617039763062E-2</v>
      </c>
      <c r="H138" s="3">
        <v>4.5114960000000011</v>
      </c>
      <c r="I138" s="82">
        <f>(Samples_for_P_analysis[[#This Row],[Column43]]*50/1000)/Samples_for_P_analysis[[#This Row],[Column2]]</f>
        <v>0.21280641509433965</v>
      </c>
      <c r="J138" s="3">
        <v>3.2159257636633249</v>
      </c>
      <c r="K138" s="3"/>
      <c r="L138" s="3">
        <f>(Samples_for_P_analysis[[#This Row],[Column5]]*45/1000)/Samples_for_P_analysis[[#This Row],[Column2]]</f>
        <v>0.13652515034419774</v>
      </c>
      <c r="M138" s="3" t="s">
        <v>289</v>
      </c>
      <c r="N138" s="88">
        <f>Samples_for_P_analysis[[#This Row],[Column32]]+Samples_for_P_analysis[[#This Row],[Column4]]+Samples_for_P_analysis[[#This Row],[Column42]]+Samples_for_P_analysis[[#This Row],[Column8]]</f>
        <v>0.42109139474245139</v>
      </c>
      <c r="O138">
        <f>Samples_for_P_analysis[[#This Row],[Column9]]*1000</f>
        <v>421.09139474245137</v>
      </c>
    </row>
    <row r="139" spans="1:15">
      <c r="A139" s="5" t="s">
        <v>173</v>
      </c>
      <c r="B139" s="10">
        <v>1.008</v>
      </c>
      <c r="C139" s="51">
        <v>2.8111385000000002</v>
      </c>
      <c r="D139" s="68">
        <f>(Samples_for_P_analysis[[#This Row],[Column3]]*50/1000)/Samples_for_P_analysis[[#This Row],[Column2]]</f>
        <v>0.13944139384920634</v>
      </c>
      <c r="E139" s="58">
        <v>0.55165778306172197</v>
      </c>
      <c r="G139" s="68">
        <f>(Samples_for_P_analysis[[#This Row],[Column7]]*50/1000)/Samples_for_P_analysis[[#This Row],[Column2]]</f>
        <v>2.7363977334410813E-2</v>
      </c>
      <c r="H139" s="58">
        <v>10.220526000000001</v>
      </c>
      <c r="I139" s="81">
        <f>(Samples_for_P_analysis[[#This Row],[Column43]]*50/1000)/Samples_for_P_analysis[[#This Row],[Column2]]</f>
        <v>0.50697053571428574</v>
      </c>
      <c r="J139" s="71">
        <v>3.8747334737998114</v>
      </c>
      <c r="L139">
        <f>(Samples_for_P_analysis[[#This Row],[Column5]]*45/1000)/Samples_for_P_analysis[[#This Row],[Column2]]</f>
        <v>0.17297917293749157</v>
      </c>
      <c r="M139" t="s">
        <v>3</v>
      </c>
      <c r="N139" s="88">
        <f>Samples_for_P_analysis[[#This Row],[Column32]]+Samples_for_P_analysis[[#This Row],[Column4]]+Samples_for_P_analysis[[#This Row],[Column42]]+Samples_for_P_analysis[[#This Row],[Column8]]</f>
        <v>0.84675507983539444</v>
      </c>
      <c r="O139">
        <f>Samples_for_P_analysis[[#This Row],[Column9]]*1000</f>
        <v>846.75507983539444</v>
      </c>
    </row>
    <row r="140" spans="1:15">
      <c r="A140" s="17" t="s">
        <v>174</v>
      </c>
      <c r="B140" s="76">
        <v>1.0580000000000001</v>
      </c>
      <c r="C140" s="76">
        <v>1.3714235000000001</v>
      </c>
      <c r="D140" s="3">
        <f>(Samples_for_P_analysis[[#This Row],[Column3]]*50/1000)/Samples_for_P_analysis[[#This Row],[Column2]]</f>
        <v>6.4812074669187147E-2</v>
      </c>
      <c r="E140" s="3">
        <v>0.53605208699252704</v>
      </c>
      <c r="F140" s="3"/>
      <c r="G140" s="3">
        <f>(Samples_for_P_analysis[[#This Row],[Column7]]*50/1000)/Samples_for_P_analysis[[#This Row],[Column2]]</f>
        <v>2.5333274432539084E-2</v>
      </c>
      <c r="H140" s="3">
        <v>4.6249760000000011</v>
      </c>
      <c r="I140" s="82">
        <f>(Samples_for_P_analysis[[#This Row],[Column43]]*50/1000)/Samples_for_P_analysis[[#This Row],[Column2]]</f>
        <v>0.21857164461247638</v>
      </c>
      <c r="J140" s="3">
        <v>4.6902677247885682</v>
      </c>
      <c r="K140" s="3"/>
      <c r="L140" s="3">
        <f>(Samples_for_P_analysis[[#This Row],[Column5]]*45/1000)/Samples_for_P_analysis[[#This Row],[Column2]]</f>
        <v>0.19949153838892777</v>
      </c>
      <c r="M140" s="3" t="s">
        <v>289</v>
      </c>
      <c r="N140" s="88">
        <f>Samples_for_P_analysis[[#This Row],[Column32]]+Samples_for_P_analysis[[#This Row],[Column4]]+Samples_for_P_analysis[[#This Row],[Column42]]+Samples_for_P_analysis[[#This Row],[Column8]]</f>
        <v>0.50820853210313033</v>
      </c>
      <c r="O140">
        <f>Samples_for_P_analysis[[#This Row],[Column9]]*1000</f>
        <v>508.20853210313032</v>
      </c>
    </row>
    <row r="141" spans="1:15">
      <c r="A141" s="5" t="s">
        <v>175</v>
      </c>
      <c r="B141" s="10">
        <v>1.052</v>
      </c>
      <c r="C141" s="51">
        <v>0.99609550000000024</v>
      </c>
      <c r="D141" s="68">
        <f>(Samples_for_P_analysis[[#This Row],[Column3]]*50/1000)/Samples_for_P_analysis[[#This Row],[Column2]]</f>
        <v>4.7342942015209138E-2</v>
      </c>
      <c r="E141" s="58">
        <v>0.55510983559129301</v>
      </c>
      <c r="G141" s="68">
        <f>(Samples_for_P_analysis[[#This Row],[Column7]]*50/1000)/Samples_for_P_analysis[[#This Row],[Column2]]</f>
        <v>2.6383547318977803E-2</v>
      </c>
      <c r="H141" s="58">
        <v>0.47519750000000005</v>
      </c>
      <c r="I141" s="81">
        <f>(Samples_for_P_analysis[[#This Row],[Column43]]*50/1000)/Samples_for_P_analysis[[#This Row],[Column2]]</f>
        <v>2.2585432509505701E-2</v>
      </c>
      <c r="J141" s="71">
        <v>2.6760218293304767</v>
      </c>
      <c r="L141">
        <f>(Samples_for_P_analysis[[#This Row],[Column5]]*45/1000)/Samples_for_P_analysis[[#This Row],[Column2]]</f>
        <v>0.11446861437250139</v>
      </c>
      <c r="M141" t="s">
        <v>3</v>
      </c>
      <c r="N141" s="88">
        <f>Samples_for_P_analysis[[#This Row],[Column32]]+Samples_for_P_analysis[[#This Row],[Column4]]+Samples_for_P_analysis[[#This Row],[Column42]]+Samples_for_P_analysis[[#This Row],[Column8]]</f>
        <v>0.21078053621619403</v>
      </c>
      <c r="O141">
        <f>Samples_for_P_analysis[[#This Row],[Column9]]*1000</f>
        <v>210.78053621619404</v>
      </c>
    </row>
    <row r="142" spans="1:15">
      <c r="A142" s="5" t="s">
        <v>176</v>
      </c>
      <c r="B142" s="10">
        <v>1.0149999999999999</v>
      </c>
      <c r="C142" s="51">
        <v>4.2138000000000009E-2</v>
      </c>
      <c r="D142" s="68">
        <f>(Samples_for_P_analysis[[#This Row],[Column3]]*50/1000)/Samples_for_P_analysis[[#This Row],[Column2]]</f>
        <v>2.0757635467980305E-3</v>
      </c>
      <c r="E142" s="58">
        <v>0.139170487171492</v>
      </c>
      <c r="G142" s="68">
        <f>(Samples_for_P_analysis[[#This Row],[Column7]]*50/1000)/Samples_for_P_analysis[[#This Row],[Column2]]</f>
        <v>6.8556890232262082E-3</v>
      </c>
      <c r="H142" s="58">
        <v>2.5532999999999997E-2</v>
      </c>
      <c r="I142" s="81">
        <f>(Samples_for_P_analysis[[#This Row],[Column43]]*50/1000)/Samples_for_P_analysis[[#This Row],[Column2]]</f>
        <v>1.2577832512315271E-3</v>
      </c>
      <c r="J142" s="71">
        <v>1.583625402687965</v>
      </c>
      <c r="L142">
        <f>(Samples_for_P_analysis[[#This Row],[Column5]]*45/1000)/Samples_for_P_analysis[[#This Row],[Column2]]</f>
        <v>7.0209993222619158E-2</v>
      </c>
      <c r="M142" t="s">
        <v>3</v>
      </c>
      <c r="N142" s="88">
        <f>Samples_for_P_analysis[[#This Row],[Column32]]+Samples_for_P_analysis[[#This Row],[Column4]]+Samples_for_P_analysis[[#This Row],[Column42]]+Samples_for_P_analysis[[#This Row],[Column8]]</f>
        <v>8.039922904387492E-2</v>
      </c>
      <c r="O142">
        <f>Samples_for_P_analysis[[#This Row],[Column9]]*1000</f>
        <v>80.399229043874925</v>
      </c>
    </row>
    <row r="143" spans="1:15">
      <c r="A143" s="5" t="s">
        <v>177</v>
      </c>
      <c r="B143" s="13">
        <v>1.02</v>
      </c>
      <c r="C143" s="51">
        <v>0.12407299999999999</v>
      </c>
      <c r="D143" s="68">
        <f>(Samples_for_P_analysis[[#This Row],[Column3]]*50/1000)/Samples_for_P_analysis[[#This Row],[Column2]]</f>
        <v>6.0820098039215684E-3</v>
      </c>
      <c r="E143" s="58">
        <v>0.102110394568988</v>
      </c>
      <c r="G143" s="68">
        <f>(Samples_for_P_analysis[[#This Row],[Column7]]*50/1000)/Samples_for_P_analysis[[#This Row],[Column2]]</f>
        <v>5.0054114984798047E-3</v>
      </c>
      <c r="H143" s="58">
        <v>1.4185E-2</v>
      </c>
      <c r="I143" s="81">
        <f>(Samples_for_P_analysis[[#This Row],[Column43]]*50/1000)/Samples_for_P_analysis[[#This Row],[Column2]]</f>
        <v>6.9534313725490185E-4</v>
      </c>
      <c r="J143" s="71">
        <v>1.5329535994828902</v>
      </c>
      <c r="L143">
        <f>(Samples_for_P_analysis[[#This Row],[Column5]]*45/1000)/Samples_for_P_analysis[[#This Row],[Column2]]</f>
        <v>6.7630305859539275E-2</v>
      </c>
      <c r="M143" t="s">
        <v>3</v>
      </c>
      <c r="N143" s="88">
        <f>Samples_for_P_analysis[[#This Row],[Column32]]+Samples_for_P_analysis[[#This Row],[Column4]]+Samples_for_P_analysis[[#This Row],[Column42]]+Samples_for_P_analysis[[#This Row],[Column8]]</f>
        <v>7.9413070299195546E-2</v>
      </c>
      <c r="O143">
        <f>Samples_for_P_analysis[[#This Row],[Column9]]*1000</f>
        <v>79.413070299195539</v>
      </c>
    </row>
    <row r="144" spans="1:15">
      <c r="A144" s="5" t="s">
        <v>178</v>
      </c>
      <c r="B144" s="10">
        <v>1.117</v>
      </c>
      <c r="C144" s="51">
        <v>0.44596050000000009</v>
      </c>
      <c r="D144" s="68">
        <f>(Samples_for_P_analysis[[#This Row],[Column3]]*50/1000)/Samples_for_P_analysis[[#This Row],[Column2]]</f>
        <v>1.996242166517458E-2</v>
      </c>
      <c r="E144" s="58">
        <v>0.39638687891711499</v>
      </c>
      <c r="G144" s="68">
        <f>(Samples_for_P_analysis[[#This Row],[Column7]]*50/1000)/Samples_for_P_analysis[[#This Row],[Column2]]</f>
        <v>1.7743369691903085E-2</v>
      </c>
      <c r="H144" s="58">
        <v>1.4823325000000001</v>
      </c>
      <c r="I144" s="81">
        <f>(Samples_for_P_analysis[[#This Row],[Column43]]*50/1000)/Samples_for_P_analysis[[#This Row],[Column2]]</f>
        <v>6.6353290062667866E-2</v>
      </c>
      <c r="J144" s="71">
        <v>2.1381818409622664</v>
      </c>
      <c r="L144">
        <f>(Samples_for_P_analysis[[#This Row],[Column5]]*45/1000)/Samples_for_P_analysis[[#This Row],[Column2]]</f>
        <v>8.6139823494451193E-2</v>
      </c>
      <c r="M144" t="s">
        <v>3</v>
      </c>
      <c r="N144" s="88">
        <f>Samples_for_P_analysis[[#This Row],[Column32]]+Samples_for_P_analysis[[#This Row],[Column4]]+Samples_for_P_analysis[[#This Row],[Column42]]+Samples_for_P_analysis[[#This Row],[Column8]]</f>
        <v>0.19019890491419672</v>
      </c>
      <c r="O144">
        <f>Samples_for_P_analysis[[#This Row],[Column9]]*1000</f>
        <v>190.19890491419673</v>
      </c>
    </row>
    <row r="145" spans="1:15">
      <c r="A145" s="17" t="s">
        <v>179</v>
      </c>
      <c r="B145" s="76">
        <v>1.046</v>
      </c>
      <c r="C145" s="76">
        <v>5.0116785000000004</v>
      </c>
      <c r="D145" s="3">
        <f>(Samples_for_P_analysis[[#This Row],[Column3]]*50/1000)/Samples_for_P_analysis[[#This Row],[Column2]]</f>
        <v>0.23956398183556407</v>
      </c>
      <c r="E145" s="3">
        <v>1.33548808633287</v>
      </c>
      <c r="F145" s="3"/>
      <c r="G145" s="3">
        <f>(Samples_for_P_analysis[[#This Row],[Column7]]*50/1000)/Samples_for_P_analysis[[#This Row],[Column2]]</f>
        <v>6.3837862635414439E-2</v>
      </c>
      <c r="H145" s="3">
        <v>29.228425999999999</v>
      </c>
      <c r="I145" s="82">
        <f>(Samples_for_P_analysis[[#This Row],[Column43]]*50/1000)/Samples_for_P_analysis[[#This Row],[Column2]]</f>
        <v>1.3971522944550669</v>
      </c>
      <c r="J145" s="3">
        <v>3.2181911014530051</v>
      </c>
      <c r="K145" s="3"/>
      <c r="L145" s="3">
        <f>(Samples_for_P_analysis[[#This Row],[Column5]]*45/1000)/Samples_for_P_analysis[[#This Row],[Column2]]</f>
        <v>0.13844990398220386</v>
      </c>
      <c r="M145" s="3" t="s">
        <v>289</v>
      </c>
      <c r="N145" s="88">
        <f>Samples_for_P_analysis[[#This Row],[Column32]]+Samples_for_P_analysis[[#This Row],[Column4]]+Samples_for_P_analysis[[#This Row],[Column42]]+Samples_for_P_analysis[[#This Row],[Column8]]</f>
        <v>1.8390040429082493</v>
      </c>
      <c r="O145">
        <f>Samples_for_P_analysis[[#This Row],[Column9]]*1000</f>
        <v>1839.0040429082492</v>
      </c>
    </row>
    <row r="146" spans="1:15">
      <c r="A146" s="5" t="s">
        <v>180</v>
      </c>
      <c r="B146" s="10">
        <v>1.0269999999999999</v>
      </c>
      <c r="C146" s="51">
        <v>0.93640000000000012</v>
      </c>
      <c r="D146" s="68">
        <f>(Samples_for_P_analysis[[#This Row],[Column3]]*50/1000)/Samples_for_P_analysis[[#This Row],[Column2]]</f>
        <v>4.5589094449853956E-2</v>
      </c>
      <c r="E146" s="58">
        <v>0.416560497999166</v>
      </c>
      <c r="G146" s="68">
        <f>(Samples_for_P_analysis[[#This Row],[Column7]]*50/1000)/Samples_for_P_analysis[[#This Row],[Column2]]</f>
        <v>2.0280452677661442E-2</v>
      </c>
      <c r="H146" s="58">
        <v>2.6248910000000003</v>
      </c>
      <c r="I146" s="81">
        <f>(Samples_for_P_analysis[[#This Row],[Column43]]*50/1000)/Samples_for_P_analysis[[#This Row],[Column2]]</f>
        <v>0.12779410905550148</v>
      </c>
      <c r="J146" s="71">
        <v>1.6489920298056084</v>
      </c>
      <c r="L146">
        <f>(Samples_for_P_analysis[[#This Row],[Column5]]*45/1000)/Samples_for_P_analysis[[#This Row],[Column2]]</f>
        <v>7.2253789037246732E-2</v>
      </c>
      <c r="M146" t="s">
        <v>3</v>
      </c>
      <c r="N146" s="88">
        <f>Samples_for_P_analysis[[#This Row],[Column32]]+Samples_for_P_analysis[[#This Row],[Column4]]+Samples_for_P_analysis[[#This Row],[Column42]]+Samples_for_P_analysis[[#This Row],[Column8]]</f>
        <v>0.26591744522026362</v>
      </c>
      <c r="O146">
        <f>Samples_for_P_analysis[[#This Row],[Column9]]*1000</f>
        <v>265.91744522026363</v>
      </c>
    </row>
    <row r="147" spans="1:15">
      <c r="A147" s="5" t="s">
        <v>181</v>
      </c>
      <c r="B147" s="13">
        <v>1.07</v>
      </c>
      <c r="C147" s="51">
        <v>1.4065385000000001</v>
      </c>
      <c r="D147" s="68">
        <f>(Samples_for_P_analysis[[#This Row],[Column3]]*50/1000)/Samples_for_P_analysis[[#This Row],[Column2]]</f>
        <v>6.5726098130841112E-2</v>
      </c>
      <c r="E147" s="58">
        <v>0.53954261781462598</v>
      </c>
      <c r="G147" s="68">
        <f>(Samples_for_P_analysis[[#This Row],[Column7]]*50/1000)/Samples_for_P_analysis[[#This Row],[Column2]]</f>
        <v>2.521227186049654E-2</v>
      </c>
      <c r="H147" s="58">
        <v>5.6813260000000003</v>
      </c>
      <c r="I147" s="81">
        <f>(Samples_for_P_analysis[[#This Row],[Column43]]*50/1000)/Samples_for_P_analysis[[#This Row],[Column2]]</f>
        <v>0.26548252336448597</v>
      </c>
      <c r="J147" s="71">
        <v>2.7796181891632412</v>
      </c>
      <c r="L147">
        <f>(Samples_for_P_analysis[[#This Row],[Column5]]*45/1000)/Samples_for_P_analysis[[#This Row],[Column2]]</f>
        <v>0.11689983038536994</v>
      </c>
      <c r="M147" t="s">
        <v>3</v>
      </c>
      <c r="N147" s="88">
        <f>Samples_for_P_analysis[[#This Row],[Column32]]+Samples_for_P_analysis[[#This Row],[Column4]]+Samples_for_P_analysis[[#This Row],[Column42]]+Samples_for_P_analysis[[#This Row],[Column8]]</f>
        <v>0.47332072374119355</v>
      </c>
      <c r="O147">
        <f>Samples_for_P_analysis[[#This Row],[Column9]]*1000</f>
        <v>473.32072374119355</v>
      </c>
    </row>
    <row r="148" spans="1:15">
      <c r="A148" s="5" t="s">
        <v>182</v>
      </c>
      <c r="B148" s="10">
        <v>1.0149999999999999</v>
      </c>
      <c r="C148" s="51">
        <v>0.20600799999999997</v>
      </c>
      <c r="D148" s="68">
        <f>(Samples_for_P_analysis[[#This Row],[Column3]]*50/1000)/Samples_for_P_analysis[[#This Row],[Column2]]</f>
        <v>1.0148177339901476E-2</v>
      </c>
      <c r="E148" s="58">
        <v>0.222695866449904</v>
      </c>
      <c r="G148" s="68">
        <f>(Samples_for_P_analysis[[#This Row],[Column7]]*50/1000)/Samples_for_P_analysis[[#This Row],[Column2]]</f>
        <v>1.0970239726596259E-2</v>
      </c>
      <c r="H148" s="58">
        <v>0.36171750000000003</v>
      </c>
      <c r="I148" s="81">
        <f>(Samples_for_P_analysis[[#This Row],[Column43]]*50/1000)/Samples_for_P_analysis[[#This Row],[Column2]]</f>
        <v>1.7818596059113304E-2</v>
      </c>
      <c r="J148" s="71">
        <v>1.9903531256307401</v>
      </c>
      <c r="L148">
        <f>(Samples_for_P_analysis[[#This Row],[Column5]]*45/1000)/Samples_for_P_analysis[[#This Row],[Column2]]</f>
        <v>8.824225680136287E-2</v>
      </c>
      <c r="M148" t="s">
        <v>3</v>
      </c>
      <c r="N148" s="88">
        <f>Samples_for_P_analysis[[#This Row],[Column32]]+Samples_for_P_analysis[[#This Row],[Column4]]+Samples_for_P_analysis[[#This Row],[Column42]]+Samples_for_P_analysis[[#This Row],[Column8]]</f>
        <v>0.12717926992697393</v>
      </c>
      <c r="O148">
        <f>Samples_for_P_analysis[[#This Row],[Column9]]*1000</f>
        <v>127.17926992697393</v>
      </c>
    </row>
    <row r="149" spans="1:15">
      <c r="A149" s="5" t="s">
        <v>183</v>
      </c>
      <c r="B149" s="10">
        <v>1.0209999999999999</v>
      </c>
      <c r="C149" s="51">
        <v>6.5547999999999995E-2</v>
      </c>
      <c r="D149" s="68">
        <f>(Samples_for_P_analysis[[#This Row],[Column3]]*50/1000)/Samples_for_P_analysis[[#This Row],[Column2]]</f>
        <v>3.2099902056807053E-3</v>
      </c>
      <c r="E149" s="58">
        <v>0.16585793148848399</v>
      </c>
      <c r="G149" s="68">
        <f>(Samples_for_P_analysis[[#This Row],[Column7]]*50/1000)/Samples_for_P_analysis[[#This Row],[Column2]]</f>
        <v>8.1223276928738507E-3</v>
      </c>
      <c r="H149" s="58">
        <v>5.6739999999999999E-2</v>
      </c>
      <c r="I149" s="81">
        <f>(Samples_for_P_analysis[[#This Row],[Column43]]*50/1000)/Samples_for_P_analysis[[#This Row],[Column2]]</f>
        <v>2.7786483839373163E-3</v>
      </c>
      <c r="J149" s="71">
        <v>2.2333921692909482</v>
      </c>
      <c r="L149">
        <f>(Samples_for_P_analysis[[#This Row],[Column5]]*45/1000)/Samples_for_P_analysis[[#This Row],[Column2]]</f>
        <v>9.8435502074527587E-2</v>
      </c>
      <c r="M149" t="s">
        <v>3</v>
      </c>
      <c r="N149" s="88">
        <f>Samples_for_P_analysis[[#This Row],[Column32]]+Samples_for_P_analysis[[#This Row],[Column4]]+Samples_for_P_analysis[[#This Row],[Column42]]+Samples_for_P_analysis[[#This Row],[Column8]]</f>
        <v>0.11254646835701945</v>
      </c>
      <c r="O149">
        <f>Samples_for_P_analysis[[#This Row],[Column9]]*1000</f>
        <v>112.54646835701945</v>
      </c>
    </row>
    <row r="150" spans="1:15">
      <c r="A150" s="31" t="s">
        <v>276</v>
      </c>
      <c r="B150" s="32">
        <v>1.0089999999999999</v>
      </c>
      <c r="C150" s="54">
        <v>8.8958000000000009E-2</v>
      </c>
      <c r="D150" s="45">
        <f>(Samples_for_P_analysis[[#This Row],[Column3]]*50/1000)/Samples_for_P_analysis[[#This Row],[Column2]]</f>
        <v>4.4082259663032709E-3</v>
      </c>
      <c r="E150" s="60">
        <v>0.23015515830122399</v>
      </c>
      <c r="F150" s="60"/>
      <c r="G150" s="33">
        <f>(Samples_for_P_analysis[[#This Row],[Column7]]*50/1000)/Samples_for_P_analysis[[#This Row],[Column2]]</f>
        <v>1.1405111907890189E-2</v>
      </c>
      <c r="H150" s="60">
        <v>0.10780600000000001</v>
      </c>
      <c r="I150" s="86">
        <f>(Samples_for_P_analysis[[#This Row],[Column43]]*50/1000)/Samples_for_P_analysis[[#This Row],[Column2]]</f>
        <v>5.342220019821607E-3</v>
      </c>
      <c r="J150" s="73">
        <v>3.1099963522113718</v>
      </c>
      <c r="K150" s="73"/>
      <c r="L150" s="33">
        <f>(Samples_for_P_analysis[[#This Row],[Column5]]*45/1000)/Samples_for_P_analysis[[#This Row],[Column2]]</f>
        <v>0.13870152215016029</v>
      </c>
      <c r="N150" s="88">
        <f>Samples_for_P_analysis[[#This Row],[Column32]]+Samples_for_P_analysis[[#This Row],[Column4]]+Samples_for_P_analysis[[#This Row],[Column42]]+Samples_for_P_analysis[[#This Row],[Column8]]</f>
        <v>0.15985708004417537</v>
      </c>
      <c r="O150">
        <f>Samples_for_P_analysis[[#This Row],[Column9]]*1000</f>
        <v>159.85708004417538</v>
      </c>
    </row>
    <row r="151" spans="1:15">
      <c r="A151" s="31" t="s">
        <v>277</v>
      </c>
      <c r="B151" s="32">
        <v>1.048</v>
      </c>
      <c r="C151" s="54">
        <v>8.5446500000000009E-2</v>
      </c>
      <c r="D151" s="45">
        <f>(Samples_for_P_analysis[[#This Row],[Column3]]*50/1000)/Samples_for_P_analysis[[#This Row],[Column2]]</f>
        <v>4.0766459923664124E-3</v>
      </c>
      <c r="E151" s="60">
        <v>0.22868748628626301</v>
      </c>
      <c r="F151" s="60"/>
      <c r="G151" s="33">
        <f>(Samples_for_P_analysis[[#This Row],[Column7]]*50/1000)/Samples_for_P_analysis[[#This Row],[Column2]]</f>
        <v>1.0910662513657585E-2</v>
      </c>
      <c r="H151" s="60">
        <v>4.8229000000000001E-2</v>
      </c>
      <c r="I151" s="86">
        <f>(Samples_for_P_analysis[[#This Row],[Column43]]*50/1000)/Samples_for_P_analysis[[#This Row],[Column2]]</f>
        <v>2.3010019083969462E-3</v>
      </c>
      <c r="J151" s="73">
        <v>3.0556080212327941</v>
      </c>
      <c r="K151" s="73"/>
      <c r="L151" s="33">
        <f>(Samples_for_P_analysis[[#This Row],[Column5]]*45/1000)/Samples_for_P_analysis[[#This Row],[Column2]]</f>
        <v>0.13120454289644629</v>
      </c>
      <c r="N151" s="88">
        <f>Samples_for_P_analysis[[#This Row],[Column32]]+Samples_for_P_analysis[[#This Row],[Column4]]+Samples_for_P_analysis[[#This Row],[Column42]]+Samples_for_P_analysis[[#This Row],[Column8]]</f>
        <v>0.14849285331086723</v>
      </c>
      <c r="O151">
        <f>Samples_for_P_analysis[[#This Row],[Column9]]*1000</f>
        <v>148.49285331086722</v>
      </c>
    </row>
    <row r="152" spans="1:15">
      <c r="A152" s="19" t="s">
        <v>278</v>
      </c>
      <c r="B152" s="20"/>
      <c r="C152" s="20">
        <v>0</v>
      </c>
      <c r="D152" s="44"/>
      <c r="E152" s="44">
        <v>-8.5861561324698799E-3</v>
      </c>
      <c r="F152" s="44"/>
      <c r="G152" s="22"/>
      <c r="H152" s="44">
        <v>0</v>
      </c>
      <c r="I152" s="84"/>
      <c r="J152" s="44">
        <v>-2.0241071677524893E-2</v>
      </c>
      <c r="K152" s="44"/>
      <c r="L152" s="22"/>
      <c r="N152" s="88">
        <f>Samples_for_P_analysis[[#This Row],[Column32]]+Samples_for_P_analysis[[#This Row],[Column4]]+Samples_for_P_analysis[[#This Row],[Column42]]+Samples_for_P_analysis[[#This Row],[Column8]]</f>
        <v>0</v>
      </c>
      <c r="O152">
        <f>Samples_for_P_analysis[[#This Row],[Column9]]*1000</f>
        <v>0</v>
      </c>
    </row>
    <row r="153" spans="1:15">
      <c r="A153" s="5" t="s">
        <v>184</v>
      </c>
      <c r="B153" s="10">
        <v>1.0289999999999999</v>
      </c>
      <c r="C153" s="51">
        <v>2.5836467999999995</v>
      </c>
      <c r="D153" s="68">
        <f>(Samples_for_P_analysis[[#This Row],[Column3]]*50/1000)/Samples_for_P_analysis[[#This Row],[Column2]]</f>
        <v>0.1255416326530612</v>
      </c>
      <c r="E153" s="58">
        <v>1.3098945249034299</v>
      </c>
      <c r="G153" s="68">
        <f>(Samples_for_P_analysis[[#This Row],[Column7]]*50/1000)/Samples_for_P_analysis[[#This Row],[Column2]]</f>
        <v>6.3648907915618558E-2</v>
      </c>
      <c r="H153" s="58">
        <v>0.60931000000000002</v>
      </c>
      <c r="I153" s="81">
        <f>(Samples_for_P_analysis[[#This Row],[Column43]]*50/1000)/Samples_for_P_analysis[[#This Row],[Column2]]</f>
        <v>2.9606899902818274E-2</v>
      </c>
      <c r="J153" s="71">
        <v>1.0359976990341815</v>
      </c>
      <c r="L153">
        <f>(Samples_for_P_analysis[[#This Row],[Column5]]*45/1000)/Samples_for_P_analysis[[#This Row],[Column2]]</f>
        <v>4.5306021823652252E-2</v>
      </c>
      <c r="M153" t="s">
        <v>3</v>
      </c>
      <c r="N153" s="88">
        <f>Samples_for_P_analysis[[#This Row],[Column32]]+Samples_for_P_analysis[[#This Row],[Column4]]+Samples_for_P_analysis[[#This Row],[Column42]]+Samples_for_P_analysis[[#This Row],[Column8]]</f>
        <v>0.2641034622951503</v>
      </c>
      <c r="O153">
        <f>Samples_for_P_analysis[[#This Row],[Column9]]*1000</f>
        <v>264.10346229515028</v>
      </c>
    </row>
    <row r="154" spans="1:15">
      <c r="A154" s="5" t="s">
        <v>185</v>
      </c>
      <c r="B154" s="13">
        <v>1.02</v>
      </c>
      <c r="C154" s="51">
        <v>0.3024309</v>
      </c>
      <c r="D154" s="68">
        <f>(Samples_for_P_analysis[[#This Row],[Column3]]*50/1000)/Samples_for_P_analysis[[#This Row],[Column2]]</f>
        <v>1.482504411764706E-2</v>
      </c>
      <c r="E154" s="58">
        <v>0.45006409699238298</v>
      </c>
      <c r="G154" s="68">
        <f>(Samples_for_P_analysis[[#This Row],[Column7]]*50/1000)/Samples_for_P_analysis[[#This Row],[Column2]]</f>
        <v>2.2061965538842303E-2</v>
      </c>
      <c r="H154" s="58">
        <v>5.5899999999999998E-2</v>
      </c>
      <c r="I154" s="81">
        <f>(Samples_for_P_analysis[[#This Row],[Column43]]*50/1000)/Samples_for_P_analysis[[#This Row],[Column2]]</f>
        <v>2.7401960784313724E-3</v>
      </c>
      <c r="J154" s="71">
        <v>1.406279191567035</v>
      </c>
      <c r="L154">
        <f>(Samples_for_P_analysis[[#This Row],[Column5]]*45/1000)/Samples_for_P_analysis[[#This Row],[Column2]]</f>
        <v>6.2041729039722139E-2</v>
      </c>
      <c r="M154" t="s">
        <v>3</v>
      </c>
      <c r="N154" s="88">
        <f>Samples_for_P_analysis[[#This Row],[Column32]]+Samples_for_P_analysis[[#This Row],[Column4]]+Samples_for_P_analysis[[#This Row],[Column42]]+Samples_for_P_analysis[[#This Row],[Column8]]</f>
        <v>0.10166893477464287</v>
      </c>
      <c r="O154">
        <f>Samples_for_P_analysis[[#This Row],[Column9]]*1000</f>
        <v>101.66893477464286</v>
      </c>
    </row>
    <row r="155" spans="1:15">
      <c r="A155" s="5" t="s">
        <v>186</v>
      </c>
      <c r="B155" s="10">
        <v>1.0049999999999999</v>
      </c>
      <c r="C155" s="51">
        <v>0.36392099999999994</v>
      </c>
      <c r="D155" s="68">
        <f>(Samples_for_P_analysis[[#This Row],[Column3]]*50/1000)/Samples_for_P_analysis[[#This Row],[Column2]]</f>
        <v>1.8105522388059698E-2</v>
      </c>
      <c r="E155" s="58">
        <v>0.25146663546229098</v>
      </c>
      <c r="G155" s="68">
        <f>(Samples_for_P_analysis[[#This Row],[Column7]]*50/1000)/Samples_for_P_analysis[[#This Row],[Column2]]</f>
        <v>1.251077788369607E-2</v>
      </c>
      <c r="H155" s="58">
        <v>4.3322499999999993E-2</v>
      </c>
      <c r="I155" s="81">
        <f>(Samples_for_P_analysis[[#This Row],[Column43]]*50/1000)/Samples_for_P_analysis[[#This Row],[Column2]]</f>
        <v>2.1553482587064673E-3</v>
      </c>
      <c r="J155" s="71">
        <v>2.2404581802435932</v>
      </c>
      <c r="L155">
        <f>(Samples_for_P_analysis[[#This Row],[Column5]]*45/1000)/Samples_for_P_analysis[[#This Row],[Column2]]</f>
        <v>0.10031902299598179</v>
      </c>
      <c r="M155" t="s">
        <v>3</v>
      </c>
      <c r="N155" s="88">
        <f>Samples_for_P_analysis[[#This Row],[Column32]]+Samples_for_P_analysis[[#This Row],[Column4]]+Samples_for_P_analysis[[#This Row],[Column42]]+Samples_for_P_analysis[[#This Row],[Column8]]</f>
        <v>0.13309067152644402</v>
      </c>
      <c r="O155">
        <f>Samples_for_P_analysis[[#This Row],[Column9]]*1000</f>
        <v>133.09067152644403</v>
      </c>
    </row>
    <row r="156" spans="1:15">
      <c r="A156" s="5">
        <v>409</v>
      </c>
      <c r="B156" s="10">
        <v>1.0289999999999999</v>
      </c>
      <c r="C156" s="51">
        <v>1.3287468</v>
      </c>
      <c r="D156" s="68">
        <f>(Samples_for_P_analysis[[#This Row],[Column3]]*50/1000)/Samples_for_P_analysis[[#This Row],[Column2]]</f>
        <v>6.4564956268221591E-2</v>
      </c>
      <c r="E156" s="58">
        <v>0.84553849068671305</v>
      </c>
      <c r="G156" s="68">
        <f>(Samples_for_P_analysis[[#This Row],[Column7]]*50/1000)/Samples_for_P_analysis[[#This Row],[Column2]]</f>
        <v>4.1085446583416577E-2</v>
      </c>
      <c r="H156" s="58">
        <v>0.9461075000000001</v>
      </c>
      <c r="I156" s="81">
        <f>(Samples_for_P_analysis[[#This Row],[Column43]]*50/1000)/Samples_for_P_analysis[[#This Row],[Column2]]</f>
        <v>4.5972181729834798E-2</v>
      </c>
      <c r="J156" s="71">
        <v>4.0110768989330223</v>
      </c>
      <c r="L156">
        <f>(Samples_for_P_analysis[[#This Row],[Column5]]*45/1000)/Samples_for_P_analysis[[#This Row],[Column2]]</f>
        <v>0.17541152619240624</v>
      </c>
      <c r="M156" t="s">
        <v>3</v>
      </c>
      <c r="N156" s="88">
        <f>Samples_for_P_analysis[[#This Row],[Column32]]+Samples_for_P_analysis[[#This Row],[Column4]]+Samples_for_P_analysis[[#This Row],[Column42]]+Samples_for_P_analysis[[#This Row],[Column8]]</f>
        <v>0.32703411077387923</v>
      </c>
      <c r="O156">
        <f>Samples_for_P_analysis[[#This Row],[Column9]]*1000</f>
        <v>327.03411077387921</v>
      </c>
    </row>
    <row r="157" spans="1:15">
      <c r="A157" s="5" t="s">
        <v>187</v>
      </c>
      <c r="B157" s="10">
        <v>1.089</v>
      </c>
      <c r="C157" s="51">
        <v>0.14682330000000002</v>
      </c>
      <c r="D157" s="68">
        <f>(Samples_for_P_analysis[[#This Row],[Column3]]*50/1000)/Samples_for_P_analysis[[#This Row],[Column2]]</f>
        <v>6.7411983471074395E-3</v>
      </c>
      <c r="E157" s="58">
        <v>9.9433404788890595E-2</v>
      </c>
      <c r="G157" s="68">
        <f>(Samples_for_P_analysis[[#This Row],[Column7]]*50/1000)/Samples_for_P_analysis[[#This Row],[Column2]]</f>
        <v>4.5653537552291365E-3</v>
      </c>
      <c r="H157" s="58">
        <v>1.2577499999999998E-2</v>
      </c>
      <c r="I157" s="81">
        <f>(Samples_for_P_analysis[[#This Row],[Column43]]*50/1000)/Samples_for_P_analysis[[#This Row],[Column2]]</f>
        <v>5.7747933884297526E-4</v>
      </c>
      <c r="J157" s="71">
        <v>2.5996756981047535</v>
      </c>
      <c r="L157">
        <f>(Samples_for_P_analysis[[#This Row],[Column5]]*45/1000)/Samples_for_P_analysis[[#This Row],[Column2]]</f>
        <v>0.10742461562416336</v>
      </c>
      <c r="M157" t="s">
        <v>3</v>
      </c>
      <c r="N157" s="88">
        <f>Samples_for_P_analysis[[#This Row],[Column32]]+Samples_for_P_analysis[[#This Row],[Column4]]+Samples_for_P_analysis[[#This Row],[Column42]]+Samples_for_P_analysis[[#This Row],[Column8]]</f>
        <v>0.11930864706534292</v>
      </c>
      <c r="O157">
        <f>Samples_for_P_analysis[[#This Row],[Column9]]*1000</f>
        <v>119.30864706534291</v>
      </c>
    </row>
    <row r="158" spans="1:15">
      <c r="A158" s="5" t="s">
        <v>188</v>
      </c>
      <c r="B158" s="10">
        <v>1.0569999999999999</v>
      </c>
      <c r="C158" s="51">
        <v>0.61113629999999997</v>
      </c>
      <c r="D158" s="68">
        <f>(Samples_for_P_analysis[[#This Row],[Column3]]*50/1000)/Samples_for_P_analysis[[#This Row],[Column2]]</f>
        <v>2.8909001892147589E-2</v>
      </c>
      <c r="E158" s="58">
        <v>0.40192225614208099</v>
      </c>
      <c r="G158" s="68">
        <f>(Samples_for_P_analysis[[#This Row],[Column7]]*50/1000)/Samples_for_P_analysis[[#This Row],[Column2]]</f>
        <v>1.901240568316372E-2</v>
      </c>
      <c r="H158" s="58">
        <v>0.45977750000000006</v>
      </c>
      <c r="I158" s="81">
        <f>(Samples_for_P_analysis[[#This Row],[Column43]]*50/1000)/Samples_for_P_analysis[[#This Row],[Column2]]</f>
        <v>2.1749172185430467E-2</v>
      </c>
      <c r="J158" s="71">
        <v>2.9257449859684654</v>
      </c>
      <c r="L158">
        <f>(Samples_for_P_analysis[[#This Row],[Column5]]*45/1000)/Samples_for_P_analysis[[#This Row],[Column2]]</f>
        <v>0.1245586796296887</v>
      </c>
      <c r="M158" t="s">
        <v>3</v>
      </c>
      <c r="N158" s="88">
        <f>Samples_for_P_analysis[[#This Row],[Column32]]+Samples_for_P_analysis[[#This Row],[Column4]]+Samples_for_P_analysis[[#This Row],[Column42]]+Samples_for_P_analysis[[#This Row],[Column8]]</f>
        <v>0.19422925939043048</v>
      </c>
      <c r="O158">
        <f>Samples_for_P_analysis[[#This Row],[Column9]]*1000</f>
        <v>194.22925939043049</v>
      </c>
    </row>
    <row r="159" spans="1:15">
      <c r="A159" s="5" t="s">
        <v>189</v>
      </c>
      <c r="B159" s="10">
        <v>1.008</v>
      </c>
      <c r="C159" s="51">
        <v>0.54462660000000007</v>
      </c>
      <c r="D159" s="68">
        <f>(Samples_for_P_analysis[[#This Row],[Column3]]*50/1000)/Samples_for_P_analysis[[#This Row],[Column2]]</f>
        <v>2.7015208333333339E-2</v>
      </c>
      <c r="E159" s="58">
        <v>0.70727499183907305</v>
      </c>
      <c r="G159" s="68">
        <f>(Samples_for_P_analysis[[#This Row],[Column7]]*50/1000)/Samples_for_P_analysis[[#This Row],[Column2]]</f>
        <v>3.5083084912652426E-2</v>
      </c>
      <c r="H159" s="58">
        <v>0.72390500000000013</v>
      </c>
      <c r="I159" s="81">
        <f>(Samples_for_P_analysis[[#This Row],[Column43]]*50/1000)/Samples_for_P_analysis[[#This Row],[Column2]]</f>
        <v>3.5907986111111116E-2</v>
      </c>
      <c r="J159" s="71">
        <v>1.0684547212217916</v>
      </c>
      <c r="L159">
        <f>(Samples_for_P_analysis[[#This Row],[Column5]]*45/1000)/Samples_for_P_analysis[[#This Row],[Column2]]</f>
        <v>4.7698871483115704E-2</v>
      </c>
      <c r="M159" t="s">
        <v>3</v>
      </c>
      <c r="N159" s="88">
        <f>Samples_for_P_analysis[[#This Row],[Column32]]+Samples_for_P_analysis[[#This Row],[Column4]]+Samples_for_P_analysis[[#This Row],[Column42]]+Samples_for_P_analysis[[#This Row],[Column8]]</f>
        <v>0.14570515084021257</v>
      </c>
      <c r="O159">
        <f>Samples_for_P_analysis[[#This Row],[Column9]]*1000</f>
        <v>145.70515084021258</v>
      </c>
    </row>
    <row r="160" spans="1:15">
      <c r="A160" s="5" t="s">
        <v>190</v>
      </c>
      <c r="B160" s="10">
        <v>1.0149999999999999</v>
      </c>
      <c r="C160" s="51">
        <v>0.42290129999999992</v>
      </c>
      <c r="D160" s="68">
        <f>(Samples_for_P_analysis[[#This Row],[Column3]]*50/1000)/Samples_for_P_analysis[[#This Row],[Column2]]</f>
        <v>2.0832576354679798E-2</v>
      </c>
      <c r="E160" s="58">
        <v>0.30497894656958502</v>
      </c>
      <c r="G160" s="68">
        <f>(Samples_for_P_analysis[[#This Row],[Column7]]*50/1000)/Samples_for_P_analysis[[#This Row],[Column2]]</f>
        <v>1.5023593427073153E-2</v>
      </c>
      <c r="H160" s="58">
        <v>0.23897249999999998</v>
      </c>
      <c r="I160" s="81">
        <f>(Samples_for_P_analysis[[#This Row],[Column43]]*50/1000)/Samples_for_P_analysis[[#This Row],[Column2]]</f>
        <v>1.1772044334975367E-2</v>
      </c>
      <c r="J160" s="71">
        <v>1.8675248578890615</v>
      </c>
      <c r="L160">
        <f>(Samples_for_P_analysis[[#This Row],[Column5]]*45/1000)/Samples_for_P_analysis[[#This Row],[Column2]]</f>
        <v>8.2796668576362351E-2</v>
      </c>
      <c r="M160" t="s">
        <v>3</v>
      </c>
      <c r="N160" s="88">
        <f>Samples_for_P_analysis[[#This Row],[Column32]]+Samples_for_P_analysis[[#This Row],[Column4]]+Samples_for_P_analysis[[#This Row],[Column42]]+Samples_for_P_analysis[[#This Row],[Column8]]</f>
        <v>0.13042488269309066</v>
      </c>
      <c r="O160">
        <f>Samples_for_P_analysis[[#This Row],[Column9]]*1000</f>
        <v>130.42488269309067</v>
      </c>
    </row>
    <row r="161" spans="1:15">
      <c r="A161" s="5" t="s">
        <v>191</v>
      </c>
      <c r="B161" s="13">
        <v>1.02</v>
      </c>
      <c r="C161" s="51">
        <v>1.2534527999999998</v>
      </c>
      <c r="D161" s="68">
        <f>(Samples_for_P_analysis[[#This Row],[Column3]]*50/1000)/Samples_for_P_analysis[[#This Row],[Column2]]</f>
        <v>6.1443764705882337E-2</v>
      </c>
      <c r="E161" s="58">
        <v>0.43150106929753601</v>
      </c>
      <c r="G161" s="68">
        <f>(Samples_for_P_analysis[[#This Row],[Column7]]*50/1000)/Samples_for_P_analysis[[#This Row],[Column2]]</f>
        <v>2.1152013200859607E-2</v>
      </c>
      <c r="H161" s="58">
        <v>0.14673749999999999</v>
      </c>
      <c r="I161" s="81">
        <f>(Samples_for_P_analysis[[#This Row],[Column43]]*50/1000)/Samples_for_P_analysis[[#This Row],[Column2]]</f>
        <v>7.1930147058823527E-3</v>
      </c>
      <c r="J161" s="71">
        <v>3.2053383143821712</v>
      </c>
      <c r="L161">
        <f>(Samples_for_P_analysis[[#This Row],[Column5]]*45/1000)/Samples_for_P_analysis[[#This Row],[Column2]]</f>
        <v>0.14141198445803696</v>
      </c>
      <c r="M161" t="s">
        <v>3</v>
      </c>
      <c r="N161" s="88">
        <f>Samples_for_P_analysis[[#This Row],[Column32]]+Samples_for_P_analysis[[#This Row],[Column4]]+Samples_for_P_analysis[[#This Row],[Column42]]+Samples_for_P_analysis[[#This Row],[Column8]]</f>
        <v>0.23120077707066125</v>
      </c>
      <c r="O161">
        <f>Samples_for_P_analysis[[#This Row],[Column9]]*1000</f>
        <v>231.20077707066125</v>
      </c>
    </row>
    <row r="162" spans="1:15">
      <c r="A162" s="5" t="s">
        <v>192</v>
      </c>
      <c r="B162" s="13">
        <v>1.02</v>
      </c>
      <c r="C162" s="51">
        <v>0.225882</v>
      </c>
      <c r="D162" s="68">
        <f>(Samples_for_P_analysis[[#This Row],[Column3]]*50/1000)/Samples_for_P_analysis[[#This Row],[Column2]]</f>
        <v>1.1072647058823529E-2</v>
      </c>
      <c r="E162" s="58">
        <v>0.107904126043779</v>
      </c>
      <c r="G162" s="68">
        <f>(Samples_for_P_analysis[[#This Row],[Column7]]*50/1000)/Samples_for_P_analysis[[#This Row],[Column2]]</f>
        <v>5.2894179433225002E-3</v>
      </c>
      <c r="H162" s="58">
        <v>3.2142499999999997E-2</v>
      </c>
      <c r="I162" s="81">
        <f>(Samples_for_P_analysis[[#This Row],[Column43]]*50/1000)/Samples_for_P_analysis[[#This Row],[Column2]]</f>
        <v>1.5756127450980389E-3</v>
      </c>
      <c r="J162" s="71">
        <v>2.1139250844335233</v>
      </c>
      <c r="L162">
        <f>(Samples_for_P_analysis[[#This Row],[Column5]]*45/1000)/Samples_for_P_analysis[[#This Row],[Column2]]</f>
        <v>9.326140078383191E-2</v>
      </c>
      <c r="M162" t="s">
        <v>3</v>
      </c>
      <c r="N162" s="88">
        <f>Samples_for_P_analysis[[#This Row],[Column32]]+Samples_for_P_analysis[[#This Row],[Column4]]+Samples_for_P_analysis[[#This Row],[Column42]]+Samples_for_P_analysis[[#This Row],[Column8]]</f>
        <v>0.11119907853107598</v>
      </c>
      <c r="O162">
        <f>Samples_for_P_analysis[[#This Row],[Column9]]*1000</f>
        <v>111.19907853107598</v>
      </c>
    </row>
    <row r="163" spans="1:15">
      <c r="A163" s="5" t="s">
        <v>193</v>
      </c>
      <c r="B163" s="10">
        <v>1.0029999999999999</v>
      </c>
      <c r="C163" s="51">
        <v>0.2271369</v>
      </c>
      <c r="D163" s="68">
        <f>(Samples_for_P_analysis[[#This Row],[Column3]]*50/1000)/Samples_for_P_analysis[[#This Row],[Column2]]</f>
        <v>1.1322876370887339E-2</v>
      </c>
      <c r="E163" s="58">
        <v>0.109839034467997</v>
      </c>
      <c r="G163" s="68">
        <f>(Samples_for_P_analysis[[#This Row],[Column7]]*50/1000)/Samples_for_P_analysis[[#This Row],[Column2]]</f>
        <v>5.4755251479559836E-3</v>
      </c>
      <c r="H163" s="58">
        <v>1.2577499999999998E-2</v>
      </c>
      <c r="I163" s="81">
        <f>(Samples_for_P_analysis[[#This Row],[Column43]]*50/1000)/Samples_for_P_analysis[[#This Row],[Column2]]</f>
        <v>6.2699401794616156E-4</v>
      </c>
      <c r="J163" s="71">
        <v>1.5875679581735536</v>
      </c>
      <c r="L163">
        <f>(Samples_for_P_analysis[[#This Row],[Column5]]*45/1000)/Samples_for_P_analysis[[#This Row],[Column2]]</f>
        <v>7.1226877485353862E-2</v>
      </c>
      <c r="M163" t="s">
        <v>3</v>
      </c>
      <c r="N163" s="88">
        <f>Samples_for_P_analysis[[#This Row],[Column32]]+Samples_for_P_analysis[[#This Row],[Column4]]+Samples_for_P_analysis[[#This Row],[Column42]]+Samples_for_P_analysis[[#This Row],[Column8]]</f>
        <v>8.8652273022143346E-2</v>
      </c>
      <c r="O163">
        <f>Samples_for_P_analysis[[#This Row],[Column9]]*1000</f>
        <v>88.652273022143348</v>
      </c>
    </row>
    <row r="164" spans="1:15">
      <c r="A164" s="5" t="s">
        <v>194</v>
      </c>
      <c r="B164" s="10">
        <v>1.1060000000000001</v>
      </c>
      <c r="C164" s="51">
        <v>3.0730578</v>
      </c>
      <c r="D164" s="68">
        <f>(Samples_for_P_analysis[[#This Row],[Column3]]*50/1000)/Samples_for_P_analysis[[#This Row],[Column2]]</f>
        <v>0.13892666365280287</v>
      </c>
      <c r="E164" s="58">
        <v>1.04741760087947</v>
      </c>
      <c r="G164" s="68">
        <f>(Samples_for_P_analysis[[#This Row],[Column7]]*50/1000)/Samples_for_P_analysis[[#This Row],[Column2]]</f>
        <v>4.735160944301401E-2</v>
      </c>
      <c r="H164" s="58">
        <v>8.5691624999999991</v>
      </c>
      <c r="I164" s="81">
        <f>(Samples_for_P_analysis[[#This Row],[Column43]]*50/1000)/Samples_for_P_analysis[[#This Row],[Column2]]</f>
        <v>0.38739432640144655</v>
      </c>
      <c r="J164" s="71">
        <v>9.1298576419141195</v>
      </c>
      <c r="L164">
        <f>(Samples_for_P_analysis[[#This Row],[Column5]]*45/1000)/Samples_for_P_analysis[[#This Row],[Column2]]</f>
        <v>0.37146798723882035</v>
      </c>
      <c r="M164" t="s">
        <v>3</v>
      </c>
      <c r="N164" s="88">
        <f>Samples_for_P_analysis[[#This Row],[Column32]]+Samples_for_P_analysis[[#This Row],[Column4]]+Samples_for_P_analysis[[#This Row],[Column42]]+Samples_for_P_analysis[[#This Row],[Column8]]</f>
        <v>0.94514058673608381</v>
      </c>
      <c r="O164">
        <f>Samples_for_P_analysis[[#This Row],[Column9]]*1000</f>
        <v>945.14058673608383</v>
      </c>
    </row>
    <row r="165" spans="1:15">
      <c r="A165" s="5" t="s">
        <v>195</v>
      </c>
      <c r="B165" s="13">
        <v>1.02</v>
      </c>
      <c r="C165" s="51">
        <v>0.17443109999999998</v>
      </c>
      <c r="D165" s="68">
        <f>(Samples_for_P_analysis[[#This Row],[Column3]]*50/1000)/Samples_for_P_analysis[[#This Row],[Column2]]</f>
        <v>8.5505441176470572E-3</v>
      </c>
      <c r="E165" s="58">
        <v>9.4744549999520103E-2</v>
      </c>
      <c r="G165" s="68">
        <f>(Samples_for_P_analysis[[#This Row],[Column7]]*50/1000)/Samples_for_P_analysis[[#This Row],[Column2]]</f>
        <v>4.6443406862509851E-3</v>
      </c>
      <c r="H165" s="58">
        <v>6.9874999999999989E-3</v>
      </c>
      <c r="I165" s="81">
        <f>(Samples_for_P_analysis[[#This Row],[Column43]]*50/1000)/Samples_for_P_analysis[[#This Row],[Column2]]</f>
        <v>3.4252450980392149E-4</v>
      </c>
      <c r="J165" s="71">
        <v>1.4097450046936801</v>
      </c>
      <c r="L165">
        <f>(Samples_for_P_analysis[[#This Row],[Column5]]*45/1000)/Samples_for_P_analysis[[#This Row],[Column2]]</f>
        <v>6.2194632560015305E-2</v>
      </c>
      <c r="M165" t="s">
        <v>3</v>
      </c>
      <c r="N165" s="88">
        <f>Samples_for_P_analysis[[#This Row],[Column32]]+Samples_for_P_analysis[[#This Row],[Column4]]+Samples_for_P_analysis[[#This Row],[Column42]]+Samples_for_P_analysis[[#This Row],[Column8]]</f>
        <v>7.5732041873717265E-2</v>
      </c>
      <c r="O165">
        <f>Samples_for_P_analysis[[#This Row],[Column9]]*1000</f>
        <v>75.732041873717264</v>
      </c>
    </row>
    <row r="166" spans="1:15">
      <c r="A166" s="5" t="s">
        <v>196</v>
      </c>
      <c r="B166" s="10">
        <v>1.038</v>
      </c>
      <c r="C166" s="51">
        <v>9.1607699999999986E-2</v>
      </c>
      <c r="D166" s="68">
        <f>(Samples_for_P_analysis[[#This Row],[Column3]]*50/1000)/Samples_for_P_analysis[[#This Row],[Column2]]</f>
        <v>4.4127023121387273E-3</v>
      </c>
      <c r="E166" s="58">
        <v>0.105403037029519</v>
      </c>
      <c r="G166" s="68">
        <f>(Samples_for_P_analysis[[#This Row],[Column7]]*50/1000)/Samples_for_P_analysis[[#This Row],[Column2]]</f>
        <v>5.0772175833101642E-3</v>
      </c>
      <c r="H166" s="58">
        <v>3.9129999999999998E-2</v>
      </c>
      <c r="I166" s="81">
        <f>(Samples_for_P_analysis[[#This Row],[Column43]]*50/1000)/Samples_for_P_analysis[[#This Row],[Column2]]</f>
        <v>1.8848747591522156E-3</v>
      </c>
      <c r="J166" s="71">
        <v>2.4659386249771451</v>
      </c>
      <c r="L166">
        <f>(Samples_for_P_analysis[[#This Row],[Column5]]*45/1000)/Samples_for_P_analysis[[#This Row],[Column2]]</f>
        <v>0.10690485368398027</v>
      </c>
      <c r="M166" t="s">
        <v>3</v>
      </c>
      <c r="N166" s="88">
        <f>Samples_for_P_analysis[[#This Row],[Column32]]+Samples_for_P_analysis[[#This Row],[Column4]]+Samples_for_P_analysis[[#This Row],[Column42]]+Samples_for_P_analysis[[#This Row],[Column8]]</f>
        <v>0.11827964833858137</v>
      </c>
      <c r="O166">
        <f>Samples_for_P_analysis[[#This Row],[Column9]]*1000</f>
        <v>118.27964833858137</v>
      </c>
    </row>
    <row r="167" spans="1:15">
      <c r="A167" s="5" t="s">
        <v>197</v>
      </c>
      <c r="B167" s="10">
        <v>1.0389999999999999</v>
      </c>
      <c r="C167" s="51">
        <v>0.10290179999999999</v>
      </c>
      <c r="D167" s="68">
        <f>(Samples_for_P_analysis[[#This Row],[Column3]]*50/1000)/Samples_for_P_analysis[[#This Row],[Column2]]</f>
        <v>4.9519634263715112E-3</v>
      </c>
      <c r="E167" s="58">
        <v>7.3026302317453301E-2</v>
      </c>
      <c r="G167" s="68">
        <f>(Samples_for_P_analysis[[#This Row],[Column7]]*50/1000)/Samples_for_P_analysis[[#This Row],[Column2]]</f>
        <v>3.5142590143144039E-3</v>
      </c>
      <c r="H167" s="58">
        <v>3.354E-2</v>
      </c>
      <c r="I167" s="81">
        <f>(Samples_for_P_analysis[[#This Row],[Column43]]*50/1000)/Samples_for_P_analysis[[#This Row],[Column2]]</f>
        <v>1.6140519730510109E-3</v>
      </c>
      <c r="J167" s="71">
        <v>2.1190398634521497</v>
      </c>
      <c r="L167">
        <f>(Samples_for_P_analysis[[#This Row],[Column5]]*45/1000)/Samples_for_P_analysis[[#This Row],[Column2]]</f>
        <v>9.177747243055509E-2</v>
      </c>
      <c r="M167" t="s">
        <v>3</v>
      </c>
      <c r="N167" s="88">
        <f>Samples_for_P_analysis[[#This Row],[Column32]]+Samples_for_P_analysis[[#This Row],[Column4]]+Samples_for_P_analysis[[#This Row],[Column42]]+Samples_for_P_analysis[[#This Row],[Column8]]</f>
        <v>0.10185774684429202</v>
      </c>
      <c r="O167">
        <f>Samples_for_P_analysis[[#This Row],[Column9]]*1000</f>
        <v>101.85774684429202</v>
      </c>
    </row>
    <row r="168" spans="1:15">
      <c r="A168" s="5" t="s">
        <v>198</v>
      </c>
      <c r="B168" s="10">
        <v>1.0529999999999999</v>
      </c>
      <c r="C168" s="51">
        <v>0.48941099999999987</v>
      </c>
      <c r="D168" s="68">
        <f>(Samples_for_P_analysis[[#This Row],[Column3]]*50/1000)/Samples_for_P_analysis[[#This Row],[Column2]]</f>
        <v>2.3238888888888885E-2</v>
      </c>
      <c r="E168" s="58">
        <v>0.25059262853203301</v>
      </c>
      <c r="G168" s="68">
        <f>(Samples_for_P_analysis[[#This Row],[Column7]]*50/1000)/Samples_for_P_analysis[[#This Row],[Column2]]</f>
        <v>1.1898985210447912E-2</v>
      </c>
      <c r="H168" s="58">
        <v>0.125775</v>
      </c>
      <c r="I168" s="81">
        <f>(Samples_for_P_analysis[[#This Row],[Column43]]*50/1000)/Samples_for_P_analysis[[#This Row],[Column2]]</f>
        <v>5.9722222222222225E-3</v>
      </c>
      <c r="J168" s="71">
        <v>4.696750017574808</v>
      </c>
      <c r="L168">
        <f>(Samples_for_P_analysis[[#This Row],[Column5]]*45/1000)/Samples_for_P_analysis[[#This Row],[Column2]]</f>
        <v>0.20071581271687217</v>
      </c>
      <c r="M168" t="s">
        <v>3</v>
      </c>
      <c r="N168" s="88">
        <f>Samples_for_P_analysis[[#This Row],[Column32]]+Samples_for_P_analysis[[#This Row],[Column4]]+Samples_for_P_analysis[[#This Row],[Column42]]+Samples_for_P_analysis[[#This Row],[Column8]]</f>
        <v>0.24182590903843118</v>
      </c>
      <c r="O168">
        <f>Samples_for_P_analysis[[#This Row],[Column9]]*1000</f>
        <v>241.82590903843118</v>
      </c>
    </row>
    <row r="169" spans="1:15">
      <c r="A169" s="5" t="s">
        <v>199</v>
      </c>
      <c r="B169" s="10">
        <v>1.0369999999999999</v>
      </c>
      <c r="C169" s="51">
        <v>0.40407779999999999</v>
      </c>
      <c r="D169" s="68">
        <f>(Samples_for_P_analysis[[#This Row],[Column3]]*50/1000)/Samples_for_P_analysis[[#This Row],[Column2]]</f>
        <v>1.9483018322082931E-2</v>
      </c>
      <c r="E169" s="58">
        <v>0.23580047350483899</v>
      </c>
      <c r="G169" s="68">
        <f>(Samples_for_P_analysis[[#This Row],[Column7]]*50/1000)/Samples_for_P_analysis[[#This Row],[Column2]]</f>
        <v>1.136935744960651E-2</v>
      </c>
      <c r="H169" s="58">
        <v>0.52965250000000008</v>
      </c>
      <c r="I169" s="81">
        <f>(Samples_for_P_analysis[[#This Row],[Column43]]*50/1000)/Samples_for_P_analysis[[#This Row],[Column2]]</f>
        <v>2.5537729026036651E-2</v>
      </c>
      <c r="J169" s="71">
        <v>3.8971334705637601</v>
      </c>
      <c r="L169">
        <f>(Samples_for_P_analysis[[#This Row],[Column5]]*45/1000)/Samples_for_P_analysis[[#This Row],[Column2]]</f>
        <v>0.16911379573323937</v>
      </c>
      <c r="M169" t="s">
        <v>3</v>
      </c>
      <c r="N169" s="88">
        <f>Samples_for_P_analysis[[#This Row],[Column32]]+Samples_for_P_analysis[[#This Row],[Column4]]+Samples_for_P_analysis[[#This Row],[Column42]]+Samples_for_P_analysis[[#This Row],[Column8]]</f>
        <v>0.22550390053096547</v>
      </c>
      <c r="O169">
        <f>Samples_for_P_analysis[[#This Row],[Column9]]*1000</f>
        <v>225.50390053096547</v>
      </c>
    </row>
    <row r="170" spans="1:15">
      <c r="A170" s="5" t="s">
        <v>200</v>
      </c>
      <c r="B170" s="10">
        <v>1.0780000000000001</v>
      </c>
      <c r="C170" s="51">
        <v>0.30368580000000001</v>
      </c>
      <c r="D170" s="68">
        <f>(Samples_for_P_analysis[[#This Row],[Column3]]*50/1000)/Samples_for_P_analysis[[#This Row],[Column2]]</f>
        <v>1.408561224489796E-2</v>
      </c>
      <c r="E170" s="58">
        <v>0.185234500225332</v>
      </c>
      <c r="G170" s="68">
        <f>(Samples_for_P_analysis[[#This Row],[Column7]]*50/1000)/Samples_for_P_analysis[[#This Row],[Column2]]</f>
        <v>8.5915816431044525E-3</v>
      </c>
      <c r="H170" s="58">
        <v>0.13695499999999999</v>
      </c>
      <c r="I170" s="81">
        <f>(Samples_for_P_analysis[[#This Row],[Column43]]*50/1000)/Samples_for_P_analysis[[#This Row],[Column2]]</f>
        <v>6.3522727272727264E-3</v>
      </c>
      <c r="J170" s="71">
        <v>3.6594884678404647</v>
      </c>
      <c r="L170">
        <f>(Samples_for_P_analysis[[#This Row],[Column5]]*45/1000)/Samples_for_P_analysis[[#This Row],[Column2]]</f>
        <v>0.1527615779710769</v>
      </c>
      <c r="M170" t="s">
        <v>3</v>
      </c>
      <c r="N170" s="88">
        <f>Samples_for_P_analysis[[#This Row],[Column32]]+Samples_for_P_analysis[[#This Row],[Column4]]+Samples_for_P_analysis[[#This Row],[Column42]]+Samples_for_P_analysis[[#This Row],[Column8]]</f>
        <v>0.18179104458635204</v>
      </c>
      <c r="O170">
        <f>Samples_for_P_analysis[[#This Row],[Column9]]*1000</f>
        <v>181.79104458635203</v>
      </c>
    </row>
    <row r="171" spans="1:15">
      <c r="A171" s="5" t="s">
        <v>201</v>
      </c>
      <c r="B171" s="13">
        <v>1.04</v>
      </c>
      <c r="C171" s="51">
        <v>0.13427429999999999</v>
      </c>
      <c r="D171" s="68">
        <f>(Samples_for_P_analysis[[#This Row],[Column3]]*50/1000)/Samples_for_P_analysis[[#This Row],[Column2]]</f>
        <v>6.4554951923076918E-3</v>
      </c>
      <c r="E171" s="58">
        <v>0.25963502727589499</v>
      </c>
      <c r="G171" s="68">
        <f>(Samples_for_P_analysis[[#This Row],[Column7]]*50/1000)/Samples_for_P_analysis[[#This Row],[Column2]]</f>
        <v>1.2482453234418028E-2</v>
      </c>
      <c r="H171" s="58">
        <v>0.24176749999999997</v>
      </c>
      <c r="I171" s="81">
        <f>(Samples_for_P_analysis[[#This Row],[Column43]]*50/1000)/Samples_for_P_analysis[[#This Row],[Column2]]</f>
        <v>1.1623437499999998E-2</v>
      </c>
      <c r="J171" s="71">
        <v>1.456751692832853</v>
      </c>
      <c r="L171">
        <f>(Samples_for_P_analysis[[#This Row],[Column5]]*45/1000)/Samples_for_P_analysis[[#This Row],[Column2]]</f>
        <v>6.303252517065229E-2</v>
      </c>
      <c r="M171" t="s">
        <v>3</v>
      </c>
      <c r="N171" s="88">
        <f>Samples_for_P_analysis[[#This Row],[Column32]]+Samples_for_P_analysis[[#This Row],[Column4]]+Samples_for_P_analysis[[#This Row],[Column42]]+Samples_for_P_analysis[[#This Row],[Column8]]</f>
        <v>9.359391109737801E-2</v>
      </c>
      <c r="O171">
        <f>Samples_for_P_analysis[[#This Row],[Column9]]*1000</f>
        <v>93.593911097378012</v>
      </c>
    </row>
    <row r="172" spans="1:15">
      <c r="A172" s="5" t="s">
        <v>202</v>
      </c>
      <c r="B172" s="10">
        <v>1.0549999999999999</v>
      </c>
      <c r="C172" s="51">
        <v>0.21584279999999997</v>
      </c>
      <c r="D172" s="68">
        <f>(Samples_for_P_analysis[[#This Row],[Column3]]*50/1000)/Samples_for_P_analysis[[#This Row],[Column2]]</f>
        <v>1.0229516587677725E-2</v>
      </c>
      <c r="E172" s="58">
        <v>0.22349291679510799</v>
      </c>
      <c r="G172" s="68">
        <f>(Samples_for_P_analysis[[#This Row],[Column7]]*50/1000)/Samples_for_P_analysis[[#This Row],[Column2]]</f>
        <v>1.0592081364697062E-2</v>
      </c>
      <c r="H172" s="58">
        <v>0.14254499999999998</v>
      </c>
      <c r="I172" s="81">
        <f>(Samples_for_P_analysis[[#This Row],[Column43]]*50/1000)/Samples_for_P_analysis[[#This Row],[Column2]]</f>
        <v>6.7556872037914687E-3</v>
      </c>
      <c r="J172" s="71">
        <v>1.1224320863733717</v>
      </c>
      <c r="L172">
        <f>(Samples_for_P_analysis[[#This Row],[Column5]]*45/1000)/Samples_for_P_analysis[[#This Row],[Column2]]</f>
        <v>4.7876250129669881E-2</v>
      </c>
      <c r="M172" t="s">
        <v>3</v>
      </c>
      <c r="N172" s="88">
        <f>Samples_for_P_analysis[[#This Row],[Column32]]+Samples_for_P_analysis[[#This Row],[Column4]]+Samples_for_P_analysis[[#This Row],[Column42]]+Samples_for_P_analysis[[#This Row],[Column8]]</f>
        <v>7.5453535285836135E-2</v>
      </c>
      <c r="O172">
        <f>Samples_for_P_analysis[[#This Row],[Column9]]*1000</f>
        <v>75.453535285836139</v>
      </c>
    </row>
    <row r="173" spans="1:15">
      <c r="A173" s="5" t="s">
        <v>203</v>
      </c>
      <c r="B173" s="10">
        <v>1.0149999999999999</v>
      </c>
      <c r="C173" s="51">
        <v>9.7882200000000003E-2</v>
      </c>
      <c r="D173" s="68">
        <f>(Samples_for_P_analysis[[#This Row],[Column3]]*50/1000)/Samples_for_P_analysis[[#This Row],[Column2]]</f>
        <v>4.8217832512315274E-3</v>
      </c>
      <c r="E173" s="58">
        <v>0.17279501794122201</v>
      </c>
      <c r="G173" s="68">
        <f>(Samples_for_P_analysis[[#This Row],[Column7]]*50/1000)/Samples_for_P_analysis[[#This Row],[Column2]]</f>
        <v>8.5120698493212823E-3</v>
      </c>
      <c r="H173" s="58">
        <v>7.4067500000000008E-2</v>
      </c>
      <c r="I173" s="81">
        <f>(Samples_for_P_analysis[[#This Row],[Column43]]*50/1000)/Samples_for_P_analysis[[#This Row],[Column2]]</f>
        <v>3.6486453201970454E-3</v>
      </c>
      <c r="J173" s="71">
        <v>1.4699792861342982</v>
      </c>
      <c r="L173">
        <f>(Samples_for_P_analysis[[#This Row],[Column5]]*45/1000)/Samples_for_P_analysis[[#This Row],[Column2]]</f>
        <v>6.5171495444377767E-2</v>
      </c>
      <c r="M173" t="s">
        <v>3</v>
      </c>
      <c r="N173" s="88">
        <f>Samples_for_P_analysis[[#This Row],[Column32]]+Samples_for_P_analysis[[#This Row],[Column4]]+Samples_for_P_analysis[[#This Row],[Column42]]+Samples_for_P_analysis[[#This Row],[Column8]]</f>
        <v>8.2153993865127617E-2</v>
      </c>
      <c r="O173">
        <f>Samples_for_P_analysis[[#This Row],[Column9]]*1000</f>
        <v>82.153993865127617</v>
      </c>
    </row>
    <row r="174" spans="1:15">
      <c r="A174" s="5" t="s">
        <v>204</v>
      </c>
      <c r="B174" s="10">
        <v>1.0289999999999999</v>
      </c>
      <c r="C174" s="51">
        <v>3.2627399999999994E-2</v>
      </c>
      <c r="D174" s="68">
        <f>(Samples_for_P_analysis[[#This Row],[Column3]]*50/1000)/Samples_for_P_analysis[[#This Row],[Column2]]</f>
        <v>1.5853935860058309E-3</v>
      </c>
      <c r="E174" s="58">
        <v>8.5773610941779599E-2</v>
      </c>
      <c r="G174" s="68">
        <f>(Samples_for_P_analysis[[#This Row],[Column7]]*50/1000)/Samples_for_P_analysis[[#This Row],[Column2]]</f>
        <v>4.1678139427492513E-3</v>
      </c>
      <c r="H174" s="58">
        <v>1.3974999999999998E-2</v>
      </c>
      <c r="I174" s="81">
        <f>(Samples_for_P_analysis[[#This Row],[Column43]]*50/1000)/Samples_for_P_analysis[[#This Row],[Column2]]</f>
        <v>6.7905733722060241E-4</v>
      </c>
      <c r="J174" s="71">
        <v>0.75242656859199919</v>
      </c>
      <c r="L174">
        <f>(Samples_for_P_analysis[[#This Row],[Column5]]*45/1000)/Samples_for_P_analysis[[#This Row],[Column2]]</f>
        <v>3.2904951979241946E-2</v>
      </c>
      <c r="M174" t="s">
        <v>3</v>
      </c>
      <c r="N174" s="88">
        <f>Samples_for_P_analysis[[#This Row],[Column32]]+Samples_for_P_analysis[[#This Row],[Column4]]+Samples_for_P_analysis[[#This Row],[Column42]]+Samples_for_P_analysis[[#This Row],[Column8]]</f>
        <v>3.9337216845217633E-2</v>
      </c>
      <c r="O174">
        <f>Samples_for_P_analysis[[#This Row],[Column9]]*1000</f>
        <v>39.337216845217633</v>
      </c>
    </row>
    <row r="175" spans="1:15">
      <c r="A175" s="31" t="s">
        <v>279</v>
      </c>
      <c r="B175" s="34">
        <v>1.01</v>
      </c>
      <c r="C175" s="54">
        <v>0.12799979999999997</v>
      </c>
      <c r="D175" s="45">
        <f>(Samples_for_P_analysis[[#This Row],[Column3]]*50/1000)/Samples_for_P_analysis[[#This Row],[Column2]]</f>
        <v>6.3366237623762355E-3</v>
      </c>
      <c r="E175" s="60">
        <v>0.191347051838204</v>
      </c>
      <c r="F175" s="60"/>
      <c r="G175" s="33">
        <f>(Samples_for_P_analysis[[#This Row],[Column7]]*50/1000)/Samples_for_P_analysis[[#This Row],[Column2]]</f>
        <v>9.472626328623961E-3</v>
      </c>
      <c r="H175" s="60">
        <v>5.8695000000000004E-2</v>
      </c>
      <c r="I175" s="86">
        <f>(Samples_for_P_analysis[[#This Row],[Column43]]*50/1000)/Samples_for_P_analysis[[#This Row],[Column2]]</f>
        <v>2.9056930693069308E-3</v>
      </c>
      <c r="J175" s="73">
        <v>3.1124081789404934</v>
      </c>
      <c r="K175" s="73"/>
      <c r="L175" s="33">
        <f>(Samples_for_P_analysis[[#This Row],[Column5]]*45/1000)/Samples_for_P_analysis[[#This Row],[Column2]]</f>
        <v>0.13867165153695268</v>
      </c>
      <c r="N175" s="88">
        <f>Samples_for_P_analysis[[#This Row],[Column32]]+Samples_for_P_analysis[[#This Row],[Column4]]+Samples_for_P_analysis[[#This Row],[Column42]]+Samples_for_P_analysis[[#This Row],[Column8]]</f>
        <v>0.1573865946972598</v>
      </c>
      <c r="O175">
        <f>Samples_for_P_analysis[[#This Row],[Column9]]*1000</f>
        <v>157.3865946972598</v>
      </c>
    </row>
    <row r="176" spans="1:15">
      <c r="A176" s="31" t="s">
        <v>280</v>
      </c>
      <c r="B176" s="32">
        <v>1.0029999999999999</v>
      </c>
      <c r="C176" s="54">
        <v>0.13050959999999998</v>
      </c>
      <c r="D176" s="45">
        <f>(Samples_for_P_analysis[[#This Row],[Column3]]*50/1000)/Samples_for_P_analysis[[#This Row],[Column2]]</f>
        <v>6.5059621136590228E-3</v>
      </c>
      <c r="E176" s="60">
        <v>0.173559086892831</v>
      </c>
      <c r="F176" s="60"/>
      <c r="G176" s="33">
        <f>(Samples_for_P_analysis[[#This Row],[Column7]]*50/1000)/Samples_for_P_analysis[[#This Row],[Column2]]</f>
        <v>8.6519983495927742E-3</v>
      </c>
      <c r="H176" s="60">
        <v>5.7297499999999994E-2</v>
      </c>
      <c r="I176" s="86">
        <f>(Samples_for_P_analysis[[#This Row],[Column43]]*50/1000)/Samples_for_P_analysis[[#This Row],[Column2]]</f>
        <v>2.8563060817547361E-3</v>
      </c>
      <c r="J176" s="73">
        <v>3.2811688345748085</v>
      </c>
      <c r="K176" s="73"/>
      <c r="L176" s="33">
        <f>(Samples_for_P_analysis[[#This Row],[Column5]]*45/1000)/Samples_for_P_analysis[[#This Row],[Column2]]</f>
        <v>0.14721096466188074</v>
      </c>
      <c r="N176" s="88">
        <f>Samples_for_P_analysis[[#This Row],[Column32]]+Samples_for_P_analysis[[#This Row],[Column4]]+Samples_for_P_analysis[[#This Row],[Column42]]+Samples_for_P_analysis[[#This Row],[Column8]]</f>
        <v>0.16522523120688729</v>
      </c>
      <c r="O176">
        <f>Samples_for_P_analysis[[#This Row],[Column9]]*1000</f>
        <v>165.22523120688729</v>
      </c>
    </row>
    <row r="177" spans="1:15">
      <c r="A177" s="66" t="s">
        <v>281</v>
      </c>
      <c r="B177" s="20">
        <v>0</v>
      </c>
      <c r="C177" s="20">
        <v>0</v>
      </c>
      <c r="D177" s="44"/>
      <c r="E177" s="44">
        <v>-8.5201933452817597E-4</v>
      </c>
      <c r="F177" s="44"/>
      <c r="G177" s="44"/>
      <c r="H177" s="44">
        <v>0</v>
      </c>
      <c r="I177" s="84"/>
      <c r="J177" s="44">
        <v>-2.9985564082917499E-2</v>
      </c>
      <c r="K177" s="44"/>
      <c r="L177" s="22"/>
      <c r="N177" s="88">
        <f>Samples_for_P_analysis[[#This Row],[Column32]]+Samples_for_P_analysis[[#This Row],[Column4]]+Samples_for_P_analysis[[#This Row],[Column42]]+Samples_for_P_analysis[[#This Row],[Column8]]</f>
        <v>0</v>
      </c>
      <c r="O177">
        <f>Samples_for_P_analysis[[#This Row],[Column9]]*1000</f>
        <v>0</v>
      </c>
    </row>
    <row r="178" spans="1:15">
      <c r="A178" s="5" t="s">
        <v>205</v>
      </c>
      <c r="B178" s="13">
        <v>1</v>
      </c>
      <c r="C178" s="51">
        <v>0.12528999999999998</v>
      </c>
      <c r="D178" s="68">
        <f>(Samples_for_P_analysis[[#This Row],[Column3]]*50/1000)/Samples_for_P_analysis[[#This Row],[Column2]]</f>
        <v>6.2644999999999992E-3</v>
      </c>
      <c r="E178" s="58">
        <v>0.14400226133310601</v>
      </c>
      <c r="G178" s="68">
        <f>(Samples_for_P_analysis[[#This Row],[Column7]]*50/1000)/Samples_for_P_analysis[[#This Row],[Column2]]</f>
        <v>7.2001130666552995E-3</v>
      </c>
      <c r="H178" s="58">
        <v>0.1063949</v>
      </c>
      <c r="I178" s="81">
        <f>(Samples_for_P_analysis[[#This Row],[Column43]]*50/1000)/Samples_for_P_analysis[[#This Row],[Column2]]</f>
        <v>5.3197449999999999E-3</v>
      </c>
      <c r="J178" s="71">
        <v>1.6764390864430834</v>
      </c>
      <c r="K178" s="71">
        <f>Samples_for_P_analysis[[#This Row],[Column5]]-$J$202</f>
        <v>1.6743118052208239</v>
      </c>
      <c r="L178">
        <f>(Samples_for_P_analysis[[#This Row],[Column11]]*45/1000)/Samples_for_P_analysis[[#This Row],[Column2]]</f>
        <v>7.5344031234937076E-2</v>
      </c>
      <c r="M178" t="s">
        <v>3</v>
      </c>
      <c r="N178" s="88">
        <f>Samples_for_P_analysis[[#This Row],[Column32]]+Samples_for_P_analysis[[#This Row],[Column4]]+Samples_for_P_analysis[[#This Row],[Column42]]+Samples_for_P_analysis[[#This Row],[Column8]]</f>
        <v>9.4128389301592369E-2</v>
      </c>
      <c r="O178">
        <f>Samples_for_P_analysis[[#This Row],[Column9]]*1000</f>
        <v>94.128389301592364</v>
      </c>
    </row>
    <row r="179" spans="1:15">
      <c r="A179" s="5" t="s">
        <v>206</v>
      </c>
      <c r="B179" s="10">
        <v>1.0009999999999999</v>
      </c>
      <c r="C179" s="51">
        <v>0.16914149999999997</v>
      </c>
      <c r="D179" s="68">
        <f>(Samples_for_P_analysis[[#This Row],[Column3]]*50/1000)/Samples_for_P_analysis[[#This Row],[Column2]]</f>
        <v>8.4486263736263719E-3</v>
      </c>
      <c r="E179" s="58">
        <v>0.124229915873123</v>
      </c>
      <c r="G179" s="68">
        <f>(Samples_for_P_analysis[[#This Row],[Column7]]*50/1000)/Samples_for_P_analysis[[#This Row],[Column2]]</f>
        <v>6.2052905031529972E-3</v>
      </c>
      <c r="H179" s="58">
        <v>8.0239099999999994E-2</v>
      </c>
      <c r="I179" s="81">
        <f>(Samples_for_P_analysis[[#This Row],[Column43]]*50/1000)/Samples_for_P_analysis[[#This Row],[Column2]]</f>
        <v>4.0079470529470525E-3</v>
      </c>
      <c r="J179" s="71">
        <v>1.9489647522489397</v>
      </c>
      <c r="K179" s="71">
        <f>Samples_for_P_analysis[[#This Row],[Column5]]-$J$202</f>
        <v>1.9468374710266803</v>
      </c>
      <c r="L179">
        <f>(Samples_for_P_analysis[[#This Row],[Column11]]*45/1000)/Samples_for_P_analysis[[#This Row],[Column2]]</f>
        <v>8.752016603017046E-2</v>
      </c>
      <c r="M179" t="s">
        <v>3</v>
      </c>
      <c r="N179" s="88">
        <f>Samples_for_P_analysis[[#This Row],[Column32]]+Samples_for_P_analysis[[#This Row],[Column4]]+Samples_for_P_analysis[[#This Row],[Column42]]+Samples_for_P_analysis[[#This Row],[Column8]]</f>
        <v>0.10618202995989688</v>
      </c>
      <c r="O179">
        <f>Samples_for_P_analysis[[#This Row],[Column9]]*1000</f>
        <v>106.18202995989688</v>
      </c>
    </row>
    <row r="180" spans="1:15">
      <c r="A180" s="5" t="s">
        <v>207</v>
      </c>
      <c r="B180" s="10">
        <v>1.0069999999999999</v>
      </c>
      <c r="C180" s="51">
        <v>0.31447789999999998</v>
      </c>
      <c r="D180" s="68">
        <f>(Samples_for_P_analysis[[#This Row],[Column3]]*50/1000)/Samples_for_P_analysis[[#This Row],[Column2]]</f>
        <v>1.5614592850049652E-2</v>
      </c>
      <c r="E180" s="58">
        <v>0.36717635799013398</v>
      </c>
      <c r="G180" s="68">
        <f>(Samples_for_P_analysis[[#This Row],[Column7]]*50/1000)/Samples_for_P_analysis[[#This Row],[Column2]]</f>
        <v>1.8231199502985802E-2</v>
      </c>
      <c r="H180" s="58">
        <v>2.1378287000000005</v>
      </c>
      <c r="I180" s="81">
        <f>(Samples_for_P_analysis[[#This Row],[Column43]]*50/1000)/Samples_for_P_analysis[[#This Row],[Column2]]</f>
        <v>0.10614839622641514</v>
      </c>
      <c r="J180" s="71">
        <v>1.8237100930465902</v>
      </c>
      <c r="K180" s="71">
        <f>Samples_for_P_analysis[[#This Row],[Column5]]-$J$202</f>
        <v>1.8215828118243307</v>
      </c>
      <c r="L180">
        <f>(Samples_for_P_analysis[[#This Row],[Column11]]*45/1000)/Samples_for_P_analysis[[#This Row],[Column2]]</f>
        <v>8.14014166157844E-2</v>
      </c>
      <c r="M180" t="s">
        <v>3</v>
      </c>
      <c r="N180" s="88">
        <f>Samples_for_P_analysis[[#This Row],[Column32]]+Samples_for_P_analysis[[#This Row],[Column4]]+Samples_for_P_analysis[[#This Row],[Column42]]+Samples_for_P_analysis[[#This Row],[Column8]]</f>
        <v>0.22139560519523499</v>
      </c>
      <c r="O180">
        <f>Samples_for_P_analysis[[#This Row],[Column9]]*1000</f>
        <v>221.39560519523499</v>
      </c>
    </row>
    <row r="181" spans="1:15">
      <c r="A181" s="5" t="s">
        <v>208</v>
      </c>
      <c r="B181" s="10">
        <v>1.006</v>
      </c>
      <c r="C181" s="51">
        <v>18.894464599999999</v>
      </c>
      <c r="D181" s="68">
        <f>(Samples_for_P_analysis[[#This Row],[Column3]]*50/1000)/Samples_for_P_analysis[[#This Row],[Column2]]</f>
        <v>0.93908869781312121</v>
      </c>
      <c r="E181" s="58">
        <v>1.89489649688933</v>
      </c>
      <c r="G181" s="68">
        <f>(Samples_for_P_analysis[[#This Row],[Column7]]*50/1000)/Samples_for_P_analysis[[#This Row],[Column2]]</f>
        <v>9.4179746366268885E-2</v>
      </c>
      <c r="H181" s="58">
        <v>28.803239999999995</v>
      </c>
      <c r="I181" s="81">
        <f>(Samples_for_P_analysis[[#This Row],[Column43]]*50/1000)/Samples_for_P_analysis[[#This Row],[Column2]]</f>
        <v>1.4315725646123258</v>
      </c>
      <c r="J181" s="71">
        <v>3.6958889132346116</v>
      </c>
      <c r="K181" s="71">
        <f>Samples_for_P_analysis[[#This Row],[Column5]]-$J$202</f>
        <v>3.6937616320123521</v>
      </c>
      <c r="L181">
        <f>(Samples_for_P_analysis[[#This Row],[Column11]]*45/1000)/Samples_for_P_analysis[[#This Row],[Column2]]</f>
        <v>0.16522790600452866</v>
      </c>
      <c r="M181" t="s">
        <v>3</v>
      </c>
      <c r="N181" s="88">
        <f>Samples_for_P_analysis[[#This Row],[Column32]]+Samples_for_P_analysis[[#This Row],[Column4]]+Samples_for_P_analysis[[#This Row],[Column42]]+Samples_for_P_analysis[[#This Row],[Column8]]</f>
        <v>2.6300689147962442</v>
      </c>
      <c r="O181">
        <f>Samples_for_P_analysis[[#This Row],[Column9]]*1000</f>
        <v>2630.0689147962444</v>
      </c>
    </row>
    <row r="182" spans="1:15">
      <c r="A182" s="5" t="s">
        <v>209</v>
      </c>
      <c r="B182" s="10">
        <v>1.0049999999999999</v>
      </c>
      <c r="C182" s="51">
        <v>1.0799998000000002</v>
      </c>
      <c r="D182" s="68">
        <f>(Samples_for_P_analysis[[#This Row],[Column3]]*50/1000)/Samples_for_P_analysis[[#This Row],[Column2]]</f>
        <v>5.3731333333333353E-2</v>
      </c>
      <c r="E182" s="58">
        <v>0.48218797435355698</v>
      </c>
      <c r="G182" s="68">
        <f>(Samples_for_P_analysis[[#This Row],[Column7]]*50/1000)/Samples_for_P_analysis[[#This Row],[Column2]]</f>
        <v>2.3989451460375972E-2</v>
      </c>
      <c r="H182" s="58">
        <v>8.6346000000000007</v>
      </c>
      <c r="I182" s="81">
        <f>(Samples_for_P_analysis[[#This Row],[Column43]]*50/1000)/Samples_for_P_analysis[[#This Row],[Column2]]</f>
        <v>0.42958208955223887</v>
      </c>
      <c r="J182" s="71">
        <v>1.0270274374967878</v>
      </c>
      <c r="K182" s="71">
        <f>Samples_for_P_analysis[[#This Row],[Column5]]-$J$202</f>
        <v>1.0249001562745284</v>
      </c>
      <c r="L182">
        <f>(Samples_for_P_analysis[[#This Row],[Column11]]*45/1000)/Samples_for_P_analysis[[#This Row],[Column2]]</f>
        <v>4.5891051773486354E-2</v>
      </c>
      <c r="M182" t="s">
        <v>3</v>
      </c>
      <c r="N182" s="88">
        <f>Samples_for_P_analysis[[#This Row],[Column32]]+Samples_for_P_analysis[[#This Row],[Column4]]+Samples_for_P_analysis[[#This Row],[Column42]]+Samples_for_P_analysis[[#This Row],[Column8]]</f>
        <v>0.55319392611943463</v>
      </c>
      <c r="O182">
        <f>Samples_for_P_analysis[[#This Row],[Column9]]*1000</f>
        <v>553.19392611943465</v>
      </c>
    </row>
    <row r="183" spans="1:15">
      <c r="A183" s="5" t="s">
        <v>210</v>
      </c>
      <c r="B183" s="10">
        <v>1.0049999999999999</v>
      </c>
      <c r="C183" s="51">
        <v>3.8441915999999994</v>
      </c>
      <c r="D183" s="68">
        <f>(Samples_for_P_analysis[[#This Row],[Column3]]*50/1000)/Samples_for_P_analysis[[#This Row],[Column2]]</f>
        <v>0.1912533134328358</v>
      </c>
      <c r="E183" s="58">
        <v>0.58959737949341695</v>
      </c>
      <c r="G183" s="68">
        <f>(Samples_for_P_analysis[[#This Row],[Column7]]*50/1000)/Samples_for_P_analysis[[#This Row],[Column2]]</f>
        <v>2.9333202959871494E-2</v>
      </c>
      <c r="H183" s="58">
        <v>4.1735829999999998</v>
      </c>
      <c r="I183" s="81">
        <f>(Samples_for_P_analysis[[#This Row],[Column43]]*50/1000)/Samples_for_P_analysis[[#This Row],[Column2]]</f>
        <v>0.20764094527363183</v>
      </c>
      <c r="J183" s="71">
        <v>4.153852667426901</v>
      </c>
      <c r="K183" s="71">
        <f>Samples_for_P_analysis[[#This Row],[Column5]]-$J$202</f>
        <v>4.1517253862046415</v>
      </c>
      <c r="L183">
        <f>(Samples_for_P_analysis[[#This Row],[Column11]]*45/1000)/Samples_for_P_analysis[[#This Row],[Column2]]</f>
        <v>0.18589815162110337</v>
      </c>
      <c r="M183" t="s">
        <v>3</v>
      </c>
      <c r="N183" s="88">
        <f>Samples_for_P_analysis[[#This Row],[Column32]]+Samples_for_P_analysis[[#This Row],[Column4]]+Samples_for_P_analysis[[#This Row],[Column42]]+Samples_for_P_analysis[[#This Row],[Column8]]</f>
        <v>0.61412561328744253</v>
      </c>
      <c r="O183">
        <f>Samples_for_P_analysis[[#This Row],[Column9]]*1000</f>
        <v>614.12561328744255</v>
      </c>
    </row>
    <row r="184" spans="1:15">
      <c r="A184" s="5" t="s">
        <v>211</v>
      </c>
      <c r="B184" s="10">
        <v>1.008</v>
      </c>
      <c r="C184" s="51">
        <v>3.5560246000000002</v>
      </c>
      <c r="D184" s="68">
        <f>(Samples_for_P_analysis[[#This Row],[Column3]]*50/1000)/Samples_for_P_analysis[[#This Row],[Column2]]</f>
        <v>0.17639010912698413</v>
      </c>
      <c r="E184" s="58">
        <v>0.91837789844046303</v>
      </c>
      <c r="G184" s="68">
        <f>(Samples_for_P_analysis[[#This Row],[Column7]]*50/1000)/Samples_for_P_analysis[[#This Row],[Column2]]</f>
        <v>4.5554459248038838E-2</v>
      </c>
      <c r="H184" s="58">
        <v>24.87987</v>
      </c>
      <c r="I184" s="81">
        <f>(Samples_for_P_analysis[[#This Row],[Column43]]*50/1000)/Samples_for_P_analysis[[#This Row],[Column2]]</f>
        <v>1.2341205357142857</v>
      </c>
      <c r="J184" s="71">
        <v>2.7477977348934979</v>
      </c>
      <c r="K184" s="71">
        <f>Samples_for_P_analysis[[#This Row],[Column5]]-$J$202</f>
        <v>2.7456704536712384</v>
      </c>
      <c r="L184">
        <f>(Samples_for_P_analysis[[#This Row],[Column11]]*45/1000)/Samples_for_P_analysis[[#This Row],[Column2]]</f>
        <v>0.12257457382460885</v>
      </c>
      <c r="M184" t="s">
        <v>3</v>
      </c>
      <c r="N184" s="88">
        <f>Samples_for_P_analysis[[#This Row],[Column32]]+Samples_for_P_analysis[[#This Row],[Column4]]+Samples_for_P_analysis[[#This Row],[Column42]]+Samples_for_P_analysis[[#This Row],[Column8]]</f>
        <v>1.5786396779139176</v>
      </c>
      <c r="O184">
        <f>Samples_for_P_analysis[[#This Row],[Column9]]*1000</f>
        <v>1578.6396779139175</v>
      </c>
    </row>
    <row r="185" spans="1:15">
      <c r="A185" s="5" t="s">
        <v>212</v>
      </c>
      <c r="B185" s="10">
        <v>1.018</v>
      </c>
      <c r="C185" s="51">
        <v>0.89582349999999988</v>
      </c>
      <c r="D185" s="68">
        <f>(Samples_for_P_analysis[[#This Row],[Column3]]*50/1000)/Samples_for_P_analysis[[#This Row],[Column2]]</f>
        <v>4.3999189587426324E-2</v>
      </c>
      <c r="E185" s="58">
        <v>0.324240080428852</v>
      </c>
      <c r="G185" s="68">
        <f>(Samples_for_P_analysis[[#This Row],[Column7]]*50/1000)/Samples_for_P_analysis[[#This Row],[Column2]]</f>
        <v>1.5925347761731434E-2</v>
      </c>
      <c r="H185" s="58">
        <v>0.66874460000000013</v>
      </c>
      <c r="I185" s="81">
        <f>(Samples_for_P_analysis[[#This Row],[Column43]]*50/1000)/Samples_for_P_analysis[[#This Row],[Column2]]</f>
        <v>3.2846001964636544E-2</v>
      </c>
      <c r="J185" s="71">
        <v>4.7326269345072802</v>
      </c>
      <c r="K185" s="71">
        <f>Samples_for_P_analysis[[#This Row],[Column5]]-$J$202</f>
        <v>4.7304996532850208</v>
      </c>
      <c r="L185">
        <f>(Samples_for_P_analysis[[#This Row],[Column11]]*45/1000)/Samples_for_P_analysis[[#This Row],[Column2]]</f>
        <v>0.2091085308426581</v>
      </c>
      <c r="M185" t="s">
        <v>3</v>
      </c>
      <c r="N185" s="88">
        <f>Samples_for_P_analysis[[#This Row],[Column32]]+Samples_for_P_analysis[[#This Row],[Column4]]+Samples_for_P_analysis[[#This Row],[Column42]]+Samples_for_P_analysis[[#This Row],[Column8]]</f>
        <v>0.30187907015645243</v>
      </c>
      <c r="O185">
        <f>Samples_for_P_analysis[[#This Row],[Column9]]*1000</f>
        <v>301.87907015645243</v>
      </c>
    </row>
    <row r="186" spans="1:15">
      <c r="A186" s="5" t="s">
        <v>213</v>
      </c>
      <c r="B186" s="10">
        <v>1.0049999999999999</v>
      </c>
      <c r="C186" s="51">
        <v>0.49364259999999993</v>
      </c>
      <c r="D186" s="68">
        <f>(Samples_for_P_analysis[[#This Row],[Column3]]*50/1000)/Samples_for_P_analysis[[#This Row],[Column2]]</f>
        <v>2.4559333333333332E-2</v>
      </c>
      <c r="E186" s="58">
        <v>0.42416270922273003</v>
      </c>
      <c r="G186" s="68">
        <f>(Samples_for_P_analysis[[#This Row],[Column7]]*50/1000)/Samples_for_P_analysis[[#This Row],[Column2]]</f>
        <v>2.1102622349389553E-2</v>
      </c>
      <c r="H186" s="58">
        <v>1.1511738000000002</v>
      </c>
      <c r="I186" s="81">
        <f>(Samples_for_P_analysis[[#This Row],[Column43]]*50/1000)/Samples_for_P_analysis[[#This Row],[Column2]]</f>
        <v>5.7272328358208974E-2</v>
      </c>
      <c r="J186" s="71">
        <v>3.3875775134166002</v>
      </c>
      <c r="K186" s="71">
        <f>Samples_for_P_analysis[[#This Row],[Column5]]-$J$202</f>
        <v>3.3854502321943407</v>
      </c>
      <c r="L186">
        <f>(Samples_for_P_analysis[[#This Row],[Column11]]*45/1000)/Samples_for_P_analysis[[#This Row],[Column2]]</f>
        <v>0.15158732382959736</v>
      </c>
      <c r="M186" t="s">
        <v>3</v>
      </c>
      <c r="N186" s="88">
        <f>Samples_for_P_analysis[[#This Row],[Column32]]+Samples_for_P_analysis[[#This Row],[Column4]]+Samples_for_P_analysis[[#This Row],[Column42]]+Samples_for_P_analysis[[#This Row],[Column8]]</f>
        <v>0.25452160787052924</v>
      </c>
      <c r="O186">
        <f>Samples_for_P_analysis[[#This Row],[Column9]]*1000</f>
        <v>254.52160787052924</v>
      </c>
    </row>
    <row r="187" spans="1:15">
      <c r="A187" s="5" t="s">
        <v>214</v>
      </c>
      <c r="B187" s="10">
        <v>1.0089999999999999</v>
      </c>
      <c r="C187" s="51">
        <v>5.3476715999999991</v>
      </c>
      <c r="D187" s="68">
        <f>(Samples_for_P_analysis[[#This Row],[Column3]]*50/1000)/Samples_for_P_analysis[[#This Row],[Column2]]</f>
        <v>0.26499859266600595</v>
      </c>
      <c r="E187" s="58">
        <v>1.3171119532017299</v>
      </c>
      <c r="G187" s="68">
        <f>(Samples_for_P_analysis[[#This Row],[Column7]]*50/1000)/Samples_for_P_analysis[[#This Row],[Column2]]</f>
        <v>6.5268184004050059E-2</v>
      </c>
      <c r="H187" s="58">
        <v>19.503400000000003</v>
      </c>
      <c r="I187" s="81">
        <f>(Samples_for_P_analysis[[#This Row],[Column43]]*50/1000)/Samples_for_P_analysis[[#This Row],[Column2]]</f>
        <v>0.96647175421209153</v>
      </c>
      <c r="J187" s="71">
        <v>2.5408300427385817</v>
      </c>
      <c r="K187" s="71">
        <f>Samples_for_P_analysis[[#This Row],[Column5]]-$J$202</f>
        <v>2.5387027615163222</v>
      </c>
      <c r="L187">
        <f>(Samples_for_P_analysis[[#This Row],[Column11]]*45/1000)/Samples_for_P_analysis[[#This Row],[Column2]]</f>
        <v>0.11322262068209565</v>
      </c>
      <c r="M187" t="s">
        <v>3</v>
      </c>
      <c r="N187" s="88">
        <f>Samples_for_P_analysis[[#This Row],[Column32]]+Samples_for_P_analysis[[#This Row],[Column4]]+Samples_for_P_analysis[[#This Row],[Column42]]+Samples_for_P_analysis[[#This Row],[Column8]]</f>
        <v>1.4099611515642432</v>
      </c>
      <c r="O187">
        <f>Samples_for_P_analysis[[#This Row],[Column9]]*1000</f>
        <v>1409.9611515642432</v>
      </c>
    </row>
    <row r="188" spans="1:15">
      <c r="A188" s="5" t="s">
        <v>215</v>
      </c>
      <c r="B188" s="10">
        <v>1.0089999999999999</v>
      </c>
      <c r="C188" s="51">
        <v>0.90334089999999989</v>
      </c>
      <c r="D188" s="68">
        <f>(Samples_for_P_analysis[[#This Row],[Column3]]*50/1000)/Samples_for_P_analysis[[#This Row],[Column2]]</f>
        <v>4.4764167492566898E-2</v>
      </c>
      <c r="E188" s="58">
        <v>0.94345475137025103</v>
      </c>
      <c r="G188" s="68">
        <f>(Samples_for_P_analysis[[#This Row],[Column7]]*50/1000)/Samples_for_P_analysis[[#This Row],[Column2]]</f>
        <v>4.675196983995298E-2</v>
      </c>
      <c r="H188" s="58">
        <v>0.49146639999999997</v>
      </c>
      <c r="I188" s="81">
        <f>(Samples_for_P_analysis[[#This Row],[Column43]]*50/1000)/Samples_for_P_analysis[[#This Row],[Column2]]</f>
        <v>2.4354132804757189E-2</v>
      </c>
      <c r="J188" s="71">
        <v>3.7356014687786701</v>
      </c>
      <c r="K188" s="71">
        <f>Samples_for_P_analysis[[#This Row],[Column5]]-$J$202</f>
        <v>3.7334741875564106</v>
      </c>
      <c r="L188">
        <f>(Samples_for_P_analysis[[#This Row],[Column11]]*45/1000)/Samples_for_P_analysis[[#This Row],[Column2]]</f>
        <v>0.16650776852332852</v>
      </c>
      <c r="M188" t="s">
        <v>3</v>
      </c>
      <c r="N188" s="88">
        <f>Samples_for_P_analysis[[#This Row],[Column32]]+Samples_for_P_analysis[[#This Row],[Column4]]+Samples_for_P_analysis[[#This Row],[Column42]]+Samples_for_P_analysis[[#This Row],[Column8]]</f>
        <v>0.28237803866060557</v>
      </c>
      <c r="O188">
        <f>Samples_for_P_analysis[[#This Row],[Column9]]*1000</f>
        <v>282.37803866060557</v>
      </c>
    </row>
    <row r="189" spans="1:15">
      <c r="A189" s="5" t="s">
        <v>216</v>
      </c>
      <c r="B189" s="10">
        <v>1.0089999999999999</v>
      </c>
      <c r="C189" s="51">
        <v>0.58134559999999991</v>
      </c>
      <c r="D189" s="68">
        <f>(Samples_for_P_analysis[[#This Row],[Column3]]*50/1000)/Samples_for_P_analysis[[#This Row],[Column2]]</f>
        <v>2.8808007928642219E-2</v>
      </c>
      <c r="E189" s="58">
        <v>0.204737497637626</v>
      </c>
      <c r="G189" s="68">
        <f>(Samples_for_P_analysis[[#This Row],[Column7]]*50/1000)/Samples_for_P_analysis[[#This Row],[Column2]]</f>
        <v>1.0145564798693064E-2</v>
      </c>
      <c r="H189" s="58">
        <v>0.35196879999999997</v>
      </c>
      <c r="I189" s="81">
        <f>(Samples_for_P_analysis[[#This Row],[Column43]]*50/1000)/Samples_for_P_analysis[[#This Row],[Column2]]</f>
        <v>1.7441466798810704E-2</v>
      </c>
      <c r="J189" s="71">
        <v>7.4978015127379818</v>
      </c>
      <c r="K189" s="71">
        <f>Samples_for_P_analysis[[#This Row],[Column5]]-$J$202</f>
        <v>7.4956742315157223</v>
      </c>
      <c r="L189">
        <f>(Samples_for_P_analysis[[#This Row],[Column11]]*45/1000)/Samples_for_P_analysis[[#This Row],[Column2]]</f>
        <v>0.33429667038474481</v>
      </c>
      <c r="M189" t="s">
        <v>3</v>
      </c>
      <c r="N189" s="88">
        <f>Samples_for_P_analysis[[#This Row],[Column32]]+Samples_for_P_analysis[[#This Row],[Column4]]+Samples_for_P_analysis[[#This Row],[Column42]]+Samples_for_P_analysis[[#This Row],[Column8]]</f>
        <v>0.39069170991089081</v>
      </c>
      <c r="O189">
        <f>Samples_for_P_analysis[[#This Row],[Column9]]*1000</f>
        <v>390.69170991089078</v>
      </c>
    </row>
    <row r="190" spans="1:15">
      <c r="A190" s="5" t="s">
        <v>217</v>
      </c>
      <c r="B190" s="10">
        <v>1.0089999999999999</v>
      </c>
      <c r="C190" s="51">
        <v>0.49489549999999993</v>
      </c>
      <c r="D190" s="68">
        <f>(Samples_for_P_analysis[[#This Row],[Column3]]*50/1000)/Samples_for_P_analysis[[#This Row],[Column2]]</f>
        <v>2.4524058473736371E-2</v>
      </c>
      <c r="E190" s="58">
        <v>0.23626221301516401</v>
      </c>
      <c r="G190" s="68">
        <f>(Samples_for_P_analysis[[#This Row],[Column7]]*50/1000)/Samples_for_P_analysis[[#This Row],[Column2]]</f>
        <v>1.1707740981920914E-2</v>
      </c>
      <c r="H190" s="58">
        <v>3.2286800000000004E-2</v>
      </c>
      <c r="I190" s="81">
        <f>(Samples_for_P_analysis[[#This Row],[Column43]]*50/1000)/Samples_for_P_analysis[[#This Row],[Column2]]</f>
        <v>1.5999405351833503E-3</v>
      </c>
      <c r="J190" s="71">
        <v>4.8430739512832153</v>
      </c>
      <c r="K190" s="71">
        <f>Samples_for_P_analysis[[#This Row],[Column5]]-$J$202</f>
        <v>4.8409466700609558</v>
      </c>
      <c r="L190">
        <f>(Samples_for_P_analysis[[#This Row],[Column11]]*45/1000)/Samples_for_P_analysis[[#This Row],[Column2]]</f>
        <v>0.21589950461124185</v>
      </c>
      <c r="M190" t="s">
        <v>3</v>
      </c>
      <c r="N190" s="88">
        <f>Samples_for_P_analysis[[#This Row],[Column32]]+Samples_for_P_analysis[[#This Row],[Column4]]+Samples_for_P_analysis[[#This Row],[Column42]]+Samples_for_P_analysis[[#This Row],[Column8]]</f>
        <v>0.25373124460208252</v>
      </c>
      <c r="O190">
        <f>Samples_for_P_analysis[[#This Row],[Column9]]*1000</f>
        <v>253.73124460208251</v>
      </c>
    </row>
    <row r="191" spans="1:15">
      <c r="A191" s="5" t="s">
        <v>218</v>
      </c>
      <c r="B191" s="13">
        <v>1</v>
      </c>
      <c r="C191" s="51">
        <v>0.1390719</v>
      </c>
      <c r="D191" s="68">
        <f>(Samples_for_P_analysis[[#This Row],[Column3]]*50/1000)/Samples_for_P_analysis[[#This Row],[Column2]]</f>
        <v>6.9535949999999999E-3</v>
      </c>
      <c r="E191" s="58">
        <v>0.11540739308655799</v>
      </c>
      <c r="G191" s="68">
        <f>(Samples_for_P_analysis[[#This Row],[Column7]]*50/1000)/Samples_for_P_analysis[[#This Row],[Column2]]</f>
        <v>5.7703696543279E-3</v>
      </c>
      <c r="H191" s="58">
        <v>1.7755800000000002E-2</v>
      </c>
      <c r="I191" s="81">
        <f>(Samples_for_P_analysis[[#This Row],[Column43]]*50/1000)/Samples_for_P_analysis[[#This Row],[Column2]]</f>
        <v>8.8779000000000006E-4</v>
      </c>
      <c r="J191" s="71">
        <v>2.0478525486612384</v>
      </c>
      <c r="K191" s="71">
        <f>Samples_for_P_analysis[[#This Row],[Column5]]-$J$202</f>
        <v>2.045725267438979</v>
      </c>
      <c r="L191">
        <f>(Samples_for_P_analysis[[#This Row],[Column11]]*45/1000)/Samples_for_P_analysis[[#This Row],[Column2]]</f>
        <v>9.2057637034754058E-2</v>
      </c>
      <c r="M191" t="s">
        <v>3</v>
      </c>
      <c r="N191" s="88">
        <f>Samples_for_P_analysis[[#This Row],[Column32]]+Samples_for_P_analysis[[#This Row],[Column4]]+Samples_for_P_analysis[[#This Row],[Column42]]+Samples_for_P_analysis[[#This Row],[Column8]]</f>
        <v>0.10566939168908196</v>
      </c>
      <c r="O191">
        <f>Samples_for_P_analysis[[#This Row],[Column9]]*1000</f>
        <v>105.66939168908196</v>
      </c>
    </row>
    <row r="192" spans="1:15">
      <c r="A192" s="5" t="s">
        <v>219</v>
      </c>
      <c r="B192" s="10">
        <v>1.0129999999999999</v>
      </c>
      <c r="C192" s="51">
        <v>0.27438509999999994</v>
      </c>
      <c r="D192" s="68">
        <f>(Samples_for_P_analysis[[#This Row],[Column3]]*50/1000)/Samples_for_P_analysis[[#This Row],[Column2]]</f>
        <v>1.3543193484698911E-2</v>
      </c>
      <c r="E192" s="58">
        <v>0.163912029266401</v>
      </c>
      <c r="G192" s="68">
        <f>(Samples_for_P_analysis[[#This Row],[Column7]]*50/1000)/Samples_for_P_analysis[[#This Row],[Column2]]</f>
        <v>8.0904259262784325E-3</v>
      </c>
      <c r="H192" s="58">
        <v>1.4849600000000003E-2</v>
      </c>
      <c r="I192" s="81">
        <f>(Samples_for_P_analysis[[#This Row],[Column43]]*50/1000)/Samples_for_P_analysis[[#This Row],[Column2]]</f>
        <v>7.3295162882527161E-4</v>
      </c>
      <c r="J192" s="71">
        <v>3.1514707843719818</v>
      </c>
      <c r="K192" s="71">
        <f>Samples_for_P_analysis[[#This Row],[Column5]]-$J$202</f>
        <v>3.1493435031497223</v>
      </c>
      <c r="L192">
        <f>(Samples_for_P_analysis[[#This Row],[Column11]]*45/1000)/Samples_for_P_analysis[[#This Row],[Column2]]</f>
        <v>0.13990173508562442</v>
      </c>
      <c r="M192" t="s">
        <v>3</v>
      </c>
      <c r="N192" s="88">
        <f>Samples_for_P_analysis[[#This Row],[Column32]]+Samples_for_P_analysis[[#This Row],[Column4]]+Samples_for_P_analysis[[#This Row],[Column42]]+Samples_for_P_analysis[[#This Row],[Column8]]</f>
        <v>0.16226830612542703</v>
      </c>
      <c r="O192">
        <f>Samples_for_P_analysis[[#This Row],[Column9]]*1000</f>
        <v>162.26830612542702</v>
      </c>
    </row>
    <row r="193" spans="1:15">
      <c r="A193" s="5" t="s">
        <v>220</v>
      </c>
      <c r="B193" s="10">
        <v>1.002</v>
      </c>
      <c r="C193" s="51">
        <v>3.1801545999999998</v>
      </c>
      <c r="D193" s="68">
        <f>(Samples_for_P_analysis[[#This Row],[Column3]]*50/1000)/Samples_for_P_analysis[[#This Row],[Column2]]</f>
        <v>0.15869034930139719</v>
      </c>
      <c r="E193" s="58">
        <v>0.520996080816577</v>
      </c>
      <c r="G193" s="68">
        <f>(Samples_for_P_analysis[[#This Row],[Column7]]*50/1000)/Samples_for_P_analysis[[#This Row],[Column2]]</f>
        <v>2.5997808423980889E-2</v>
      </c>
      <c r="H193" s="58">
        <v>4.9437259999999998</v>
      </c>
      <c r="I193" s="81">
        <f>(Samples_for_P_analysis[[#This Row],[Column43]]*50/1000)/Samples_for_P_analysis[[#This Row],[Column2]]</f>
        <v>0.24669291417165667</v>
      </c>
      <c r="J193" s="71">
        <v>4.3127810546981244</v>
      </c>
      <c r="K193" s="71">
        <f>Samples_for_P_analysis[[#This Row],[Column5]]-$J$202</f>
        <v>4.310653773475865</v>
      </c>
      <c r="L193">
        <f>(Samples_for_P_analysis[[#This Row],[Column11]]*45/1000)/Samples_for_P_analysis[[#This Row],[Column2]]</f>
        <v>0.19359223533574244</v>
      </c>
      <c r="M193" t="s">
        <v>3</v>
      </c>
      <c r="N193" s="88">
        <f>Samples_for_P_analysis[[#This Row],[Column32]]+Samples_for_P_analysis[[#This Row],[Column4]]+Samples_for_P_analysis[[#This Row],[Column42]]+Samples_for_P_analysis[[#This Row],[Column8]]</f>
        <v>0.62497330723277722</v>
      </c>
      <c r="O193">
        <f>Samples_for_P_analysis[[#This Row],[Column9]]*1000</f>
        <v>624.97330723277719</v>
      </c>
    </row>
    <row r="194" spans="1:15">
      <c r="A194" s="5" t="s">
        <v>221</v>
      </c>
      <c r="B194" s="10">
        <v>1.018</v>
      </c>
      <c r="C194" s="51">
        <v>0.50115999999999994</v>
      </c>
      <c r="D194" s="68">
        <f>(Samples_for_P_analysis[[#This Row],[Column3]]*50/1000)/Samples_for_P_analysis[[#This Row],[Column2]]</f>
        <v>2.461493123772102E-2</v>
      </c>
      <c r="E194" s="58">
        <v>0.26751208344608002</v>
      </c>
      <c r="G194" s="68">
        <f>(Samples_for_P_analysis[[#This Row],[Column7]]*50/1000)/Samples_for_P_analysis[[#This Row],[Column2]]</f>
        <v>1.3139100365721024E-2</v>
      </c>
      <c r="H194" s="58">
        <v>2.0375260000000002</v>
      </c>
      <c r="I194" s="81">
        <f>(Samples_for_P_analysis[[#This Row],[Column43]]*50/1000)/Samples_for_P_analysis[[#This Row],[Column2]]</f>
        <v>0.10007495088408645</v>
      </c>
      <c r="J194" s="71">
        <v>3.8846035934596799</v>
      </c>
      <c r="K194" s="71">
        <f>Samples_for_P_analysis[[#This Row],[Column5]]-$J$202</f>
        <v>3.8824763122374204</v>
      </c>
      <c r="L194">
        <f>(Samples_for_P_analysis[[#This Row],[Column11]]*45/1000)/Samples_for_P_analysis[[#This Row],[Column2]]</f>
        <v>0.17162223384153627</v>
      </c>
      <c r="M194" t="s">
        <v>3</v>
      </c>
      <c r="N194" s="88">
        <f>Samples_for_P_analysis[[#This Row],[Column32]]+Samples_for_P_analysis[[#This Row],[Column4]]+Samples_for_P_analysis[[#This Row],[Column42]]+Samples_for_P_analysis[[#This Row],[Column8]]</f>
        <v>0.3094512163290648</v>
      </c>
      <c r="O194">
        <f>Samples_for_P_analysis[[#This Row],[Column9]]*1000</f>
        <v>309.45121632906478</v>
      </c>
    </row>
    <row r="195" spans="1:15">
      <c r="A195" s="5" t="s">
        <v>222</v>
      </c>
      <c r="B195" s="13">
        <v>1.01</v>
      </c>
      <c r="C195" s="51">
        <v>0.49489549999999993</v>
      </c>
      <c r="D195" s="68">
        <f>(Samples_for_P_analysis[[#This Row],[Column3]]*50/1000)/Samples_for_P_analysis[[#This Row],[Column2]]</f>
        <v>2.4499777227722768E-2</v>
      </c>
      <c r="E195" s="58">
        <v>0.42744435788539598</v>
      </c>
      <c r="G195" s="68">
        <f>(Samples_for_P_analysis[[#This Row],[Column7]]*50/1000)/Samples_for_P_analysis[[#This Row],[Column2]]</f>
        <v>2.1160611776504752E-2</v>
      </c>
      <c r="H195" s="58">
        <v>5.4377800000000009</v>
      </c>
      <c r="I195" s="81">
        <f>(Samples_for_P_analysis[[#This Row],[Column43]]*50/1000)/Samples_for_P_analysis[[#This Row],[Column2]]</f>
        <v>0.26919702970297033</v>
      </c>
      <c r="J195" s="71">
        <v>3.0040380595466201</v>
      </c>
      <c r="K195" s="71">
        <f>Samples_for_P_analysis[[#This Row],[Column5]]-$J$202</f>
        <v>3.0019107783243606</v>
      </c>
      <c r="L195">
        <f>(Samples_for_P_analysis[[#This Row],[Column11]]*45/1000)/Samples_for_P_analysis[[#This Row],[Column2]]</f>
        <v>0.13374850002435271</v>
      </c>
      <c r="M195" t="s">
        <v>3</v>
      </c>
      <c r="N195" s="88">
        <f>Samples_for_P_analysis[[#This Row],[Column32]]+Samples_for_P_analysis[[#This Row],[Column4]]+Samples_for_P_analysis[[#This Row],[Column42]]+Samples_for_P_analysis[[#This Row],[Column8]]</f>
        <v>0.44860591873155053</v>
      </c>
      <c r="O195">
        <f>Samples_for_P_analysis[[#This Row],[Column9]]*1000</f>
        <v>448.60591873155056</v>
      </c>
    </row>
    <row r="196" spans="1:15">
      <c r="A196" s="5" t="s">
        <v>223</v>
      </c>
      <c r="B196" s="10">
        <v>1.004</v>
      </c>
      <c r="C196" s="51">
        <v>0.12779579999999999</v>
      </c>
      <c r="D196" s="68">
        <f>(Samples_for_P_analysis[[#This Row],[Column3]]*50/1000)/Samples_for_P_analysis[[#This Row],[Column2]]</f>
        <v>6.3643326693227087E-3</v>
      </c>
      <c r="E196" s="58">
        <v>0.30846947739168401</v>
      </c>
      <c r="G196" s="68">
        <f>(Samples_for_P_analysis[[#This Row],[Column7]]*50/1000)/Samples_for_P_analysis[[#This Row],[Column2]]</f>
        <v>1.5362025766518128E-2</v>
      </c>
      <c r="H196" s="58">
        <v>0.36649979999999999</v>
      </c>
      <c r="I196" s="81">
        <f>(Samples_for_P_analysis[[#This Row],[Column43]]*50/1000)/Samples_for_P_analysis[[#This Row],[Column2]]</f>
        <v>1.8251982071713146E-2</v>
      </c>
      <c r="J196" s="71">
        <v>3.0684687360948835</v>
      </c>
      <c r="K196" s="71">
        <f>Samples_for_P_analysis[[#This Row],[Column5]]-$J$202</f>
        <v>3.066341454872624</v>
      </c>
      <c r="L196">
        <f>(Samples_for_P_analysis[[#This Row],[Column11]]*45/1000)/Samples_for_P_analysis[[#This Row],[Column2]]</f>
        <v>0.13743562297735867</v>
      </c>
      <c r="M196" t="s">
        <v>3</v>
      </c>
      <c r="N196" s="88">
        <f>Samples_for_P_analysis[[#This Row],[Column32]]+Samples_for_P_analysis[[#This Row],[Column4]]+Samples_for_P_analysis[[#This Row],[Column42]]+Samples_for_P_analysis[[#This Row],[Column8]]</f>
        <v>0.17741396348491267</v>
      </c>
      <c r="O196">
        <f>Samples_for_P_analysis[[#This Row],[Column9]]*1000</f>
        <v>177.41396348491267</v>
      </c>
    </row>
    <row r="197" spans="1:15">
      <c r="A197" s="5" t="s">
        <v>224</v>
      </c>
      <c r="B197" s="13">
        <v>1.02</v>
      </c>
      <c r="C197" s="51">
        <v>0.12904869999999999</v>
      </c>
      <c r="D197" s="68">
        <f>(Samples_for_P_analysis[[#This Row],[Column3]]*50/1000)/Samples_for_P_analysis[[#This Row],[Column2]]</f>
        <v>6.3259166666666663E-3</v>
      </c>
      <c r="E197" s="58">
        <v>0.38403534701592401</v>
      </c>
      <c r="G197" s="68">
        <f>(Samples_for_P_analysis[[#This Row],[Column7]]*50/1000)/Samples_for_P_analysis[[#This Row],[Column2]]</f>
        <v>1.8825262108623723E-2</v>
      </c>
      <c r="H197" s="58">
        <v>0.62660470000000001</v>
      </c>
      <c r="I197" s="81">
        <f>(Samples_for_P_analysis[[#This Row],[Column43]]*50/1000)/Samples_for_P_analysis[[#This Row],[Column2]]</f>
        <v>3.0715916666666673E-2</v>
      </c>
      <c r="J197" s="71">
        <v>2.9261930716198816</v>
      </c>
      <c r="K197" s="71">
        <f>Samples_for_P_analysis[[#This Row],[Column5]]-$J$202</f>
        <v>2.9240657903976222</v>
      </c>
      <c r="L197">
        <f>(Samples_for_P_analysis[[#This Row],[Column11]]*45/1000)/Samples_for_P_analysis[[#This Row],[Column2]]</f>
        <v>0.12900290251754215</v>
      </c>
      <c r="M197" t="s">
        <v>3</v>
      </c>
      <c r="N197" s="88">
        <f>Samples_for_P_analysis[[#This Row],[Column32]]+Samples_for_P_analysis[[#This Row],[Column4]]+Samples_for_P_analysis[[#This Row],[Column42]]+Samples_for_P_analysis[[#This Row],[Column8]]</f>
        <v>0.18486999795949921</v>
      </c>
      <c r="O197">
        <f>Samples_for_P_analysis[[#This Row],[Column9]]*1000</f>
        <v>184.86999795949922</v>
      </c>
    </row>
    <row r="198" spans="1:15">
      <c r="A198" s="5" t="s">
        <v>225</v>
      </c>
      <c r="B198" s="10">
        <v>1.0089999999999999</v>
      </c>
      <c r="C198" s="51">
        <v>0.1390719</v>
      </c>
      <c r="D198" s="68">
        <f>(Samples_for_P_analysis[[#This Row],[Column3]]*50/1000)/Samples_for_P_analysis[[#This Row],[Column2]]</f>
        <v>6.8915708622398417E-3</v>
      </c>
      <c r="E198" s="58">
        <v>0.50244954381852702</v>
      </c>
      <c r="G198" s="68">
        <f>(Samples_for_P_analysis[[#This Row],[Column7]]*50/1000)/Samples_for_P_analysis[[#This Row],[Column2]]</f>
        <v>2.4898391665932957E-2</v>
      </c>
      <c r="H198" s="58">
        <v>0.4667637</v>
      </c>
      <c r="I198" s="81">
        <f>(Samples_for_P_analysis[[#This Row],[Column43]]*50/1000)/Samples_for_P_analysis[[#This Row],[Column2]]</f>
        <v>2.3130014866204165E-2</v>
      </c>
      <c r="J198" s="71">
        <v>3.3044424628181273</v>
      </c>
      <c r="K198" s="71">
        <f>Samples_for_P_analysis[[#This Row],[Column5]]-$J$202</f>
        <v>3.3023151815958678</v>
      </c>
      <c r="L198">
        <f>(Samples_for_P_analysis[[#This Row],[Column11]]*45/1000)/Samples_for_P_analysis[[#This Row],[Column2]]</f>
        <v>0.1472786750959505</v>
      </c>
      <c r="M198" t="s">
        <v>3</v>
      </c>
      <c r="N198" s="88">
        <f>Samples_for_P_analysis[[#This Row],[Column32]]+Samples_for_P_analysis[[#This Row],[Column4]]+Samples_for_P_analysis[[#This Row],[Column42]]+Samples_for_P_analysis[[#This Row],[Column8]]</f>
        <v>0.20219865249032748</v>
      </c>
      <c r="O198">
        <f>Samples_for_P_analysis[[#This Row],[Column9]]*1000</f>
        <v>202.19865249032748</v>
      </c>
    </row>
    <row r="199" spans="1:15">
      <c r="A199" s="5" t="s">
        <v>226</v>
      </c>
      <c r="B199" s="10">
        <v>1.008</v>
      </c>
      <c r="C199" s="51">
        <v>0.13030159999999999</v>
      </c>
      <c r="D199" s="68">
        <f>(Samples_for_P_analysis[[#This Row],[Column3]]*50/1000)/Samples_for_P_analysis[[#This Row],[Column2]]</f>
        <v>6.4633730158730153E-3</v>
      </c>
      <c r="E199" s="58">
        <v>0.21051473841561899</v>
      </c>
      <c r="G199" s="68">
        <f>(Samples_for_P_analysis[[#This Row],[Column7]]*50/1000)/Samples_for_P_analysis[[#This Row],[Column2]]</f>
        <v>1.0442199326171579E-2</v>
      </c>
      <c r="H199" s="58">
        <v>0.40863969999999994</v>
      </c>
      <c r="I199" s="81">
        <f>(Samples_for_P_analysis[[#This Row],[Column43]]*50/1000)/Samples_for_P_analysis[[#This Row],[Column2]]</f>
        <v>2.0269826388888884E-2</v>
      </c>
      <c r="J199" s="71">
        <v>2.6571603840945284</v>
      </c>
      <c r="K199" s="71">
        <f>Samples_for_P_analysis[[#This Row],[Column5]]-$J$202</f>
        <v>2.6550331028722689</v>
      </c>
      <c r="L199">
        <f>(Samples_for_P_analysis[[#This Row],[Column11]]*45/1000)/Samples_for_P_analysis[[#This Row],[Column2]]</f>
        <v>0.11852826352108344</v>
      </c>
      <c r="M199" t="s">
        <v>3</v>
      </c>
      <c r="N199" s="88">
        <f>Samples_for_P_analysis[[#This Row],[Column32]]+Samples_for_P_analysis[[#This Row],[Column4]]+Samples_for_P_analysis[[#This Row],[Column42]]+Samples_for_P_analysis[[#This Row],[Column8]]</f>
        <v>0.15570366225201693</v>
      </c>
      <c r="O199">
        <f>Samples_for_P_analysis[[#This Row],[Column9]]*1000</f>
        <v>155.70366225201693</v>
      </c>
    </row>
    <row r="200" spans="1:15">
      <c r="A200" s="31" t="s">
        <v>282</v>
      </c>
      <c r="B200" s="32">
        <v>1.0029999999999999</v>
      </c>
      <c r="C200" s="54">
        <v>0.1365661</v>
      </c>
      <c r="D200" s="45">
        <f>(Samples_for_P_analysis[[#This Row],[Column3]]*50/1000)/Samples_for_P_analysis[[#This Row],[Column2]]</f>
        <v>6.8078813559322039E-3</v>
      </c>
      <c r="E200" s="60">
        <v>0.23902165627924901</v>
      </c>
      <c r="F200" s="60"/>
      <c r="G200" s="33">
        <f>(Samples_for_P_analysis[[#This Row],[Column7]]*50/1000)/Samples_for_P_analysis[[#This Row],[Column2]]</f>
        <v>1.1915336803551797E-2</v>
      </c>
      <c r="H200" s="60">
        <v>7.7332899999999996E-2</v>
      </c>
      <c r="I200" s="86">
        <f>(Samples_for_P_analysis[[#This Row],[Column43]]*50/1000)/Samples_for_P_analysis[[#This Row],[Column2]]</f>
        <v>3.8550797607178468E-3</v>
      </c>
      <c r="J200" s="73">
        <v>3.2562129361977923</v>
      </c>
      <c r="K200" s="71">
        <f>Samples_for_P_analysis[[#This Row],[Column5]]-$J$202</f>
        <v>3.2540856549755328</v>
      </c>
      <c r="L200">
        <f>(Samples_for_P_analysis[[#This Row],[Column11]]*45/1000)/Samples_for_P_analysis[[#This Row],[Column2]]</f>
        <v>0.14599586687327915</v>
      </c>
      <c r="N200" s="88">
        <f>Samples_for_P_analysis[[#This Row],[Column32]]+Samples_for_P_analysis[[#This Row],[Column4]]+Samples_for_P_analysis[[#This Row],[Column42]]+Samples_for_P_analysis[[#This Row],[Column8]]</f>
        <v>0.168574164793481</v>
      </c>
      <c r="O200">
        <f>Samples_for_P_analysis[[#This Row],[Column9]]*1000</f>
        <v>168.574164793481</v>
      </c>
    </row>
    <row r="201" spans="1:15">
      <c r="A201" s="31" t="s">
        <v>283</v>
      </c>
      <c r="B201" s="32">
        <v>1.052</v>
      </c>
      <c r="C201" s="54">
        <v>0.14658929999999998</v>
      </c>
      <c r="D201" s="45">
        <f>(Samples_for_P_analysis[[#This Row],[Column3]]*50/1000)/Samples_for_P_analysis[[#This Row],[Column2]]</f>
        <v>6.9671720532319386E-3</v>
      </c>
      <c r="E201" s="60">
        <v>0.216258997800018</v>
      </c>
      <c r="F201" s="60"/>
      <c r="G201" s="33">
        <f>(Samples_for_P_analysis[[#This Row],[Column7]]*50/1000)/Samples_for_P_analysis[[#This Row],[Column2]]</f>
        <v>1.0278469477187168E-2</v>
      </c>
      <c r="H201" s="60">
        <v>5.6989500000000005E-2</v>
      </c>
      <c r="I201" s="86">
        <f>(Samples_for_P_analysis[[#This Row],[Column43]]*50/1000)/Samples_for_P_analysis[[#This Row],[Column2]]</f>
        <v>2.7086264258555136E-3</v>
      </c>
      <c r="J201" s="73">
        <v>3.3428630951201188</v>
      </c>
      <c r="K201" s="71">
        <f>Samples_for_P_analysis[[#This Row],[Column5]]-$J$202</f>
        <v>3.3407358138978593</v>
      </c>
      <c r="L201">
        <f>(Samples_for_P_analysis[[#This Row],[Column11]]*45/1000)/Samples_for_P_analysis[[#This Row],[Column2]]</f>
        <v>0.142902197362551</v>
      </c>
      <c r="N201" s="88">
        <f>Samples_for_P_analysis[[#This Row],[Column32]]+Samples_for_P_analysis[[#This Row],[Column4]]+Samples_for_P_analysis[[#This Row],[Column42]]+Samples_for_P_analysis[[#This Row],[Column8]]</f>
        <v>0.16285646531882561</v>
      </c>
      <c r="O201">
        <f>Samples_for_P_analysis[[#This Row],[Column9]]*1000</f>
        <v>162.8564653188256</v>
      </c>
    </row>
    <row r="202" spans="1:15">
      <c r="A202" s="66" t="s">
        <v>284</v>
      </c>
      <c r="B202" s="20">
        <v>0</v>
      </c>
      <c r="C202" s="20">
        <v>0</v>
      </c>
      <c r="D202" s="44"/>
      <c r="E202" s="44">
        <v>-1.5391317010835499E-4</v>
      </c>
      <c r="F202" s="44"/>
      <c r="G202" s="44"/>
      <c r="H202" s="44">
        <v>-1.1344999999999992E-3</v>
      </c>
      <c r="I202" s="84"/>
      <c r="J202" s="44">
        <v>2.1272812222593849E-3</v>
      </c>
      <c r="K202" s="71">
        <f>Samples_for_P_analysis[[#This Row],[Column5]]-$J$202</f>
        <v>0</v>
      </c>
      <c r="L202" s="22"/>
      <c r="N202" s="88">
        <f>Samples_for_P_analysis[[#This Row],[Column32]]+Samples_for_P_analysis[[#This Row],[Column4]]+Samples_for_P_analysis[[#This Row],[Column42]]+Samples_for_P_analysis[[#This Row],[Column8]]</f>
        <v>0</v>
      </c>
      <c r="O202">
        <f>Samples_for_P_analysis[[#This Row],[Column9]]*1000</f>
        <v>0</v>
      </c>
    </row>
    <row r="203" spans="1:15">
      <c r="A203" s="5" t="s">
        <v>227</v>
      </c>
      <c r="B203" s="10">
        <v>1.008</v>
      </c>
      <c r="C203" s="51">
        <v>0.3555528</v>
      </c>
      <c r="D203" s="68">
        <f>(Samples_for_P_analysis[[#This Row],[Column3]]*50/1000)/Samples_for_P_analysis[[#This Row],[Column2]]</f>
        <v>1.7636547619047621E-2</v>
      </c>
      <c r="E203" s="58">
        <v>0.347766807859691</v>
      </c>
      <c r="F203" s="58">
        <f>Samples_for_P_analysis[[#This Row],[Column7]]-$E$227</f>
        <v>0.34549658860059362</v>
      </c>
      <c r="G203" s="68">
        <f>(Samples_for_P_analysis[[#This Row],[Column12]]*50/1000)/Samples_for_P_analysis[[#This Row],[Column2]]</f>
        <v>1.7137727609156429E-2</v>
      </c>
      <c r="H203" s="58">
        <v>3.1066799999999999E-2</v>
      </c>
      <c r="I203" s="81">
        <f>(Samples_for_P_analysis[[#This Row],[Column43]]*50/1000)/Samples_for_P_analysis[[#This Row],[Column2]]</f>
        <v>1.5410119047619046E-3</v>
      </c>
      <c r="J203" s="71">
        <v>1.4467919688437416</v>
      </c>
      <c r="K203" s="71">
        <f>Samples_for_P_analysis[[#This Row],[Column5]]-$J$227</f>
        <v>1.4375209316872668</v>
      </c>
      <c r="L203">
        <f>(Samples_for_P_analysis[[#This Row],[Column11]]*45/1000)/Samples_for_P_analysis[[#This Row],[Column2]]</f>
        <v>6.4175041593181562E-2</v>
      </c>
      <c r="M203" t="s">
        <v>3</v>
      </c>
      <c r="N203" s="88">
        <f>Samples_for_P_analysis[[#This Row],[Column32]]+Samples_for_P_analysis[[#This Row],[Column4]]+Samples_for_P_analysis[[#This Row],[Column42]]+Samples_for_P_analysis[[#This Row],[Column8]]</f>
        <v>0.10049032872614752</v>
      </c>
      <c r="O203">
        <f>Samples_for_P_analysis[[#This Row],[Column9]]*1000</f>
        <v>100.49032872614752</v>
      </c>
    </row>
    <row r="204" spans="1:15">
      <c r="A204" s="5" t="s">
        <v>228</v>
      </c>
      <c r="B204" s="10">
        <v>1.046</v>
      </c>
      <c r="C204" s="51">
        <v>0.23748000000000002</v>
      </c>
      <c r="D204" s="68">
        <f>(Samples_for_P_analysis[[#This Row],[Column3]]*50/1000)/Samples_for_P_analysis[[#This Row],[Column2]]</f>
        <v>1.1351816443594646E-2</v>
      </c>
      <c r="E204" s="58">
        <v>0.38137484793262399</v>
      </c>
      <c r="F204" s="58">
        <f>Samples_for_P_analysis[[#This Row],[Column7]]-$E$227</f>
        <v>0.37910462867352662</v>
      </c>
      <c r="G204" s="68">
        <f>(Samples_for_P_analysis[[#This Row],[Column12]]*50/1000)/Samples_for_P_analysis[[#This Row],[Column2]]</f>
        <v>1.8121636169862648E-2</v>
      </c>
      <c r="H204" s="58">
        <v>4.5350799999999997E-2</v>
      </c>
      <c r="I204" s="81">
        <f>(Samples_for_P_analysis[[#This Row],[Column43]]*50/1000)/Samples_for_P_analysis[[#This Row],[Column2]]</f>
        <v>2.1678202676864242E-3</v>
      </c>
      <c r="J204" s="71">
        <v>1.8382009806089583</v>
      </c>
      <c r="K204" s="71">
        <f>Samples_for_P_analysis[[#This Row],[Column5]]-$J$227</f>
        <v>1.8289299434524835</v>
      </c>
      <c r="L204">
        <f>(Samples_for_P_analysis[[#This Row],[Column11]]*45/1000)/Samples_for_P_analysis[[#This Row],[Column2]]</f>
        <v>7.8682454546234931E-2</v>
      </c>
      <c r="M204" t="s">
        <v>3</v>
      </c>
      <c r="N204" s="88">
        <f>Samples_for_P_analysis[[#This Row],[Column32]]+Samples_for_P_analysis[[#This Row],[Column4]]+Samples_for_P_analysis[[#This Row],[Column42]]+Samples_for_P_analysis[[#This Row],[Column8]]</f>
        <v>0.11032372742737864</v>
      </c>
      <c r="O204">
        <f>Samples_for_P_analysis[[#This Row],[Column9]]*1000</f>
        <v>110.32372742737864</v>
      </c>
    </row>
    <row r="205" spans="1:15">
      <c r="A205" s="5" t="s">
        <v>229</v>
      </c>
      <c r="B205" s="10">
        <v>1.044</v>
      </c>
      <c r="C205" s="51">
        <v>0.12325740000000002</v>
      </c>
      <c r="D205" s="68">
        <f>(Samples_for_P_analysis[[#This Row],[Column3]]*50/1000)/Samples_for_P_analysis[[#This Row],[Column2]]</f>
        <v>5.9031321839080469E-3</v>
      </c>
      <c r="E205" s="58">
        <v>7.8875002781568504E-2</v>
      </c>
      <c r="F205" s="58">
        <f>Samples_for_P_analysis[[#This Row],[Column7]]-$E$227</f>
        <v>7.6604783522471159E-2</v>
      </c>
      <c r="G205" s="68">
        <f>(Samples_for_P_analysis[[#This Row],[Column12]]*50/1000)/Samples_for_P_analysis[[#This Row],[Column2]]</f>
        <v>3.6688114713827181E-3</v>
      </c>
      <c r="I205" s="81"/>
      <c r="J205" s="71">
        <v>1.6233291073511416</v>
      </c>
      <c r="K205" s="71">
        <f>Samples_for_P_analysis[[#This Row],[Column5]]-$J$227</f>
        <v>1.6140580701946667</v>
      </c>
      <c r="L205">
        <f>(Samples_for_P_analysis[[#This Row],[Column11]]*45/1000)/Samples_for_P_analysis[[#This Row],[Column2]]</f>
        <v>6.9571468542873563E-2</v>
      </c>
      <c r="M205" t="s">
        <v>3</v>
      </c>
      <c r="N205" s="88">
        <f>Samples_for_P_analysis[[#This Row],[Column32]]+Samples_for_P_analysis[[#This Row],[Column4]]+Samples_for_P_analysis[[#This Row],[Column42]]+Samples_for_P_analysis[[#This Row],[Column8]]</f>
        <v>7.9143412198164328E-2</v>
      </c>
      <c r="O205">
        <f>Samples_for_P_analysis[[#This Row],[Column9]]*1000</f>
        <v>79.143412198164327</v>
      </c>
    </row>
    <row r="206" spans="1:15">
      <c r="A206" s="5" t="s">
        <v>230</v>
      </c>
      <c r="B206" s="13">
        <v>1.02</v>
      </c>
      <c r="C206" s="51">
        <v>1.5054791999999999</v>
      </c>
      <c r="D206" s="68">
        <f>(Samples_for_P_analysis[[#This Row],[Column3]]*50/1000)/Samples_for_P_analysis[[#This Row],[Column2]]</f>
        <v>7.3797999999999989E-2</v>
      </c>
      <c r="E206" s="58">
        <v>1.38447644961877</v>
      </c>
      <c r="F206" s="58">
        <f>Samples_for_P_analysis[[#This Row],[Column7]]-$E$227</f>
        <v>1.3822062303596727</v>
      </c>
      <c r="G206" s="68">
        <f>(Samples_for_P_analysis[[#This Row],[Column12]]*50/1000)/Samples_for_P_analysis[[#This Row],[Column2]]</f>
        <v>6.7755207370572196E-2</v>
      </c>
      <c r="H206" s="58">
        <v>5.8671439999999997</v>
      </c>
      <c r="I206" s="81">
        <f>(Samples_for_P_analysis[[#This Row],[Column43]]*50/1000)/Samples_for_P_analysis[[#This Row],[Column2]]</f>
        <v>0.28760509803921569</v>
      </c>
      <c r="J206" s="71">
        <v>4.6420535543668953</v>
      </c>
      <c r="K206" s="71">
        <f>Samples_for_P_analysis[[#This Row],[Column5]]-$J$227</f>
        <v>4.63278251721042</v>
      </c>
      <c r="L206">
        <f>(Samples_for_P_analysis[[#This Row],[Column11]]*45/1000)/Samples_for_P_analysis[[#This Row],[Column2]]</f>
        <v>0.20438746399457736</v>
      </c>
      <c r="M206" t="s">
        <v>3</v>
      </c>
      <c r="N206" s="88">
        <f>Samples_for_P_analysis[[#This Row],[Column32]]+Samples_for_P_analysis[[#This Row],[Column4]]+Samples_for_P_analysis[[#This Row],[Column42]]+Samples_for_P_analysis[[#This Row],[Column8]]</f>
        <v>0.63354576940436524</v>
      </c>
      <c r="O206">
        <f>Samples_for_P_analysis[[#This Row],[Column9]]*1000</f>
        <v>633.54576940436527</v>
      </c>
    </row>
    <row r="207" spans="1:15">
      <c r="A207" s="5" t="s">
        <v>231</v>
      </c>
      <c r="B207" s="13">
        <v>1</v>
      </c>
      <c r="C207" s="51">
        <v>0.23876340000000001</v>
      </c>
      <c r="D207" s="68">
        <f>(Samples_for_P_analysis[[#This Row],[Column3]]*50/1000)/Samples_for_P_analysis[[#This Row],[Column2]]</f>
        <v>1.1938170000000001E-2</v>
      </c>
      <c r="E207" s="58">
        <v>0.36676958746913302</v>
      </c>
      <c r="F207" s="58">
        <f>Samples_for_P_analysis[[#This Row],[Column7]]-$E$227</f>
        <v>0.36449936821003565</v>
      </c>
      <c r="G207" s="68">
        <f>(Samples_for_P_analysis[[#This Row],[Column12]]*50/1000)/Samples_for_P_analysis[[#This Row],[Column2]]</f>
        <v>1.822496841050178E-2</v>
      </c>
      <c r="H207" s="58">
        <v>0.14962399999999998</v>
      </c>
      <c r="I207" s="81">
        <f>(Samples_for_P_analysis[[#This Row],[Column43]]*50/1000)/Samples_for_P_analysis[[#This Row],[Column2]]</f>
        <v>7.4811999999999995E-3</v>
      </c>
      <c r="J207" s="71">
        <v>3.6746392220308217</v>
      </c>
      <c r="K207" s="71">
        <f>Samples_for_P_analysis[[#This Row],[Column5]]-$J$227</f>
        <v>3.6653681848743469</v>
      </c>
      <c r="L207">
        <f>(Samples_for_P_analysis[[#This Row],[Column11]]*45/1000)/Samples_for_P_analysis[[#This Row],[Column2]]</f>
        <v>0.16494156831934562</v>
      </c>
      <c r="M207" t="s">
        <v>3</v>
      </c>
      <c r="N207" s="88">
        <f>Samples_for_P_analysis[[#This Row],[Column32]]+Samples_for_P_analysis[[#This Row],[Column4]]+Samples_for_P_analysis[[#This Row],[Column42]]+Samples_for_P_analysis[[#This Row],[Column8]]</f>
        <v>0.20258590672984739</v>
      </c>
      <c r="O207">
        <f>Samples_for_P_analysis[[#This Row],[Column9]]*1000</f>
        <v>202.58590672984738</v>
      </c>
    </row>
    <row r="208" spans="1:15">
      <c r="A208" s="5" t="s">
        <v>232</v>
      </c>
      <c r="B208" s="10">
        <v>1.0089999999999999</v>
      </c>
      <c r="C208" s="51">
        <v>0.58784820000000004</v>
      </c>
      <c r="D208" s="68">
        <f>(Samples_for_P_analysis[[#This Row],[Column3]]*50/1000)/Samples_for_P_analysis[[#This Row],[Column2]]</f>
        <v>2.9130237859266606E-2</v>
      </c>
      <c r="E208" s="58">
        <v>0.38739944916257701</v>
      </c>
      <c r="F208" s="58">
        <f>Samples_for_P_analysis[[#This Row],[Column7]]-$E$227</f>
        <v>0.38512922990347964</v>
      </c>
      <c r="G208" s="68">
        <f>(Samples_for_P_analysis[[#This Row],[Column12]]*50/1000)/Samples_for_P_analysis[[#This Row],[Column2]]</f>
        <v>1.9084699202352812E-2</v>
      </c>
      <c r="H208" s="58">
        <v>2.3818479999999993</v>
      </c>
      <c r="I208" s="81">
        <f>(Samples_for_P_analysis[[#This Row],[Column43]]*50/1000)/Samples_for_P_analysis[[#This Row],[Column2]]</f>
        <v>0.11803012884043607</v>
      </c>
      <c r="J208" s="71">
        <v>3.8098762785219979</v>
      </c>
      <c r="K208" s="71">
        <f>Samples_for_P_analysis[[#This Row],[Column5]]-$J$227</f>
        <v>3.8006052413655231</v>
      </c>
      <c r="L208">
        <f>(Samples_for_P_analysis[[#This Row],[Column11]]*45/1000)/Samples_for_P_analysis[[#This Row],[Column2]]</f>
        <v>0.16950172037804612</v>
      </c>
      <c r="M208" t="s">
        <v>3</v>
      </c>
      <c r="N208" s="88">
        <f>Samples_for_P_analysis[[#This Row],[Column32]]+Samples_for_P_analysis[[#This Row],[Column4]]+Samples_for_P_analysis[[#This Row],[Column42]]+Samples_for_P_analysis[[#This Row],[Column8]]</f>
        <v>0.33574678628010157</v>
      </c>
      <c r="O208">
        <f>Samples_for_P_analysis[[#This Row],[Column9]]*1000</f>
        <v>335.74678628010156</v>
      </c>
    </row>
    <row r="209" spans="1:15">
      <c r="A209" s="5" t="s">
        <v>233</v>
      </c>
      <c r="B209" s="10">
        <v>1.004</v>
      </c>
      <c r="C209" s="51">
        <v>2.0924520000000002</v>
      </c>
      <c r="D209" s="68">
        <f>(Samples_for_P_analysis[[#This Row],[Column3]]*50/1000)/Samples_for_P_analysis[[#This Row],[Column2]]</f>
        <v>0.10420577689243028</v>
      </c>
      <c r="E209" s="58">
        <v>0.58069240322286497</v>
      </c>
      <c r="F209" s="58">
        <f>Samples_for_P_analysis[[#This Row],[Column7]]-$E$227</f>
        <v>0.57842218396376766</v>
      </c>
      <c r="G209" s="68">
        <f>(Samples_for_P_analysis[[#This Row],[Column12]]*50/1000)/Samples_for_P_analysis[[#This Row],[Column2]]</f>
        <v>2.8805885655566119E-2</v>
      </c>
      <c r="H209" s="58">
        <v>6.8670239999999989</v>
      </c>
      <c r="I209" s="81">
        <f>(Samples_for_P_analysis[[#This Row],[Column43]]*50/1000)/Samples_for_P_analysis[[#This Row],[Column2]]</f>
        <v>0.34198326693227088</v>
      </c>
      <c r="J209" s="71">
        <v>8.5926955302144385</v>
      </c>
      <c r="K209" s="71">
        <f>Samples_for_P_analysis[[#This Row],[Column5]]-$J$227</f>
        <v>8.5834244930579633</v>
      </c>
      <c r="L209">
        <f>(Samples_for_P_analysis[[#This Row],[Column11]]*45/1000)/Samples_for_P_analysis[[#This Row],[Column2]]</f>
        <v>0.3847152412227175</v>
      </c>
      <c r="M209" t="s">
        <v>3</v>
      </c>
      <c r="N209" s="88">
        <f>Samples_for_P_analysis[[#This Row],[Column32]]+Samples_for_P_analysis[[#This Row],[Column4]]+Samples_for_P_analysis[[#This Row],[Column42]]+Samples_for_P_analysis[[#This Row],[Column8]]</f>
        <v>0.85971017070298483</v>
      </c>
      <c r="O209">
        <f>Samples_for_P_analysis[[#This Row],[Column9]]*1000</f>
        <v>859.71017070298478</v>
      </c>
    </row>
    <row r="210" spans="1:15">
      <c r="A210" s="5" t="s">
        <v>234</v>
      </c>
      <c r="B210" s="10">
        <v>1.004</v>
      </c>
      <c r="C210" s="51">
        <v>0.31705080000000002</v>
      </c>
      <c r="D210" s="68">
        <f>(Samples_for_P_analysis[[#This Row],[Column3]]*50/1000)/Samples_for_P_analysis[[#This Row],[Column2]]</f>
        <v>1.5789382470119524E-2</v>
      </c>
      <c r="E210" s="58">
        <v>0.23654255486071901</v>
      </c>
      <c r="F210" s="58">
        <f>Samples_for_P_analysis[[#This Row],[Column7]]-$E$227</f>
        <v>0.23427233560162167</v>
      </c>
      <c r="G210" s="68">
        <f>(Samples_for_P_analysis[[#This Row],[Column12]]*50/1000)/Samples_for_P_analysis[[#This Row],[Column2]]</f>
        <v>1.1666948984144507E-2</v>
      </c>
      <c r="H210" s="58">
        <v>0.11391399999999999</v>
      </c>
      <c r="I210" s="81">
        <f>(Samples_for_P_analysis[[#This Row],[Column43]]*50/1000)/Samples_for_P_analysis[[#This Row],[Column2]]</f>
        <v>5.6730079681274895E-3</v>
      </c>
      <c r="J210" s="71">
        <v>3.9130948217147883</v>
      </c>
      <c r="K210" s="71">
        <f>Samples_for_P_analysis[[#This Row],[Column5]]-$J$227</f>
        <v>3.9038237845583135</v>
      </c>
      <c r="L210">
        <f>(Samples_for_P_analysis[[#This Row],[Column11]]*45/1000)/Samples_for_P_analysis[[#This Row],[Column2]]</f>
        <v>0.17497218157880887</v>
      </c>
      <c r="M210" t="s">
        <v>3</v>
      </c>
      <c r="N210" s="88">
        <f>Samples_for_P_analysis[[#This Row],[Column32]]+Samples_for_P_analysis[[#This Row],[Column4]]+Samples_for_P_analysis[[#This Row],[Column42]]+Samples_for_P_analysis[[#This Row],[Column8]]</f>
        <v>0.20810152100120038</v>
      </c>
      <c r="O210">
        <f>Samples_for_P_analysis[[#This Row],[Column9]]*1000</f>
        <v>208.10152100120038</v>
      </c>
    </row>
    <row r="211" spans="1:15">
      <c r="A211" s="5" t="s">
        <v>235</v>
      </c>
      <c r="B211" s="10">
        <v>1.026</v>
      </c>
      <c r="C211" s="51">
        <v>0.52624500000000007</v>
      </c>
      <c r="D211" s="68">
        <f>(Samples_for_P_analysis[[#This Row],[Column3]]*50/1000)/Samples_for_P_analysis[[#This Row],[Column2]]</f>
        <v>2.5645467836257312E-2</v>
      </c>
      <c r="E211" s="58">
        <v>0.33543726355422998</v>
      </c>
      <c r="F211" s="58">
        <f>Samples_for_P_analysis[[#This Row],[Column7]]-$E$227</f>
        <v>0.33316704429513261</v>
      </c>
      <c r="G211" s="68">
        <f>(Samples_for_P_analysis[[#This Row],[Column12]]*50/1000)/Samples_for_P_analysis[[#This Row],[Column2]]</f>
        <v>1.6236210735630245E-2</v>
      </c>
      <c r="H211" s="58">
        <v>0.77097800000000005</v>
      </c>
      <c r="I211" s="81">
        <f>(Samples_for_P_analysis[[#This Row],[Column43]]*50/1000)/Samples_for_P_analysis[[#This Row],[Column2]]</f>
        <v>3.7572027290448347E-2</v>
      </c>
      <c r="J211" s="71">
        <v>3.2532778107303835</v>
      </c>
      <c r="K211" s="71">
        <f>Samples_for_P_analysis[[#This Row],[Column5]]-$J$227</f>
        <v>3.2440067735739087</v>
      </c>
      <c r="L211">
        <f>(Samples_for_P_analysis[[#This Row],[Column11]]*45/1000)/Samples_for_P_analysis[[#This Row],[Column2]]</f>
        <v>0.1422809988409609</v>
      </c>
      <c r="M211" t="s">
        <v>3</v>
      </c>
      <c r="N211" s="88">
        <f>Samples_for_P_analysis[[#This Row],[Column32]]+Samples_for_P_analysis[[#This Row],[Column4]]+Samples_for_P_analysis[[#This Row],[Column42]]+Samples_for_P_analysis[[#This Row],[Column8]]</f>
        <v>0.22173470470329681</v>
      </c>
      <c r="O211">
        <f>Samples_for_P_analysis[[#This Row],[Column9]]*1000</f>
        <v>221.73470470329681</v>
      </c>
    </row>
    <row r="212" spans="1:15">
      <c r="A212" s="5" t="s">
        <v>236</v>
      </c>
      <c r="B212" s="10">
        <v>1.0089999999999999</v>
      </c>
      <c r="C212" s="51">
        <v>3.760872</v>
      </c>
      <c r="D212" s="68">
        <f>(Samples_for_P_analysis[[#This Row],[Column3]]*50/1000)/Samples_for_P_analysis[[#This Row],[Column2]]</f>
        <v>0.18636630327056494</v>
      </c>
      <c r="E212" s="58">
        <v>0.85629592189749604</v>
      </c>
      <c r="F212" s="58">
        <f>Samples_for_P_analysis[[#This Row],[Column7]]-$E$227</f>
        <v>0.85402570263839872</v>
      </c>
      <c r="G212" s="68">
        <f>(Samples_for_P_analysis[[#This Row],[Column12]]*50/1000)/Samples_for_P_analysis[[#This Row],[Column2]]</f>
        <v>4.232040151825564E-2</v>
      </c>
      <c r="H212" s="58">
        <v>13.351959999999998</v>
      </c>
      <c r="I212" s="81">
        <f>(Samples_for_P_analysis[[#This Row],[Column43]]*50/1000)/Samples_for_P_analysis[[#This Row],[Column2]]</f>
        <v>0.66164321110009905</v>
      </c>
      <c r="J212" s="71">
        <v>4.4372828280612699</v>
      </c>
      <c r="K212" s="71">
        <f>Samples_for_P_analysis[[#This Row],[Column5]]-$J$227</f>
        <v>4.4280117909047947</v>
      </c>
      <c r="L212">
        <f>(Samples_for_P_analysis[[#This Row],[Column11]]*45/1000)/Samples_for_P_analysis[[#This Row],[Column2]]</f>
        <v>0.19748318195313755</v>
      </c>
      <c r="M212" t="s">
        <v>3</v>
      </c>
      <c r="N212" s="88">
        <f>Samples_for_P_analysis[[#This Row],[Column32]]+Samples_for_P_analysis[[#This Row],[Column4]]+Samples_for_P_analysis[[#This Row],[Column42]]+Samples_for_P_analysis[[#This Row],[Column8]]</f>
        <v>1.0878130978420573</v>
      </c>
      <c r="O212">
        <f>Samples_for_P_analysis[[#This Row],[Column9]]*1000</f>
        <v>1087.8130978420572</v>
      </c>
    </row>
    <row r="213" spans="1:15">
      <c r="A213" s="5" t="s">
        <v>237</v>
      </c>
      <c r="B213" s="10">
        <v>1.012</v>
      </c>
      <c r="C213" s="51">
        <v>0.80987640000000005</v>
      </c>
      <c r="D213" s="68">
        <f>(Samples_for_P_analysis[[#This Row],[Column3]]*50/1000)/Samples_for_P_analysis[[#This Row],[Column2]]</f>
        <v>4.0013656126482215E-2</v>
      </c>
      <c r="E213" s="58">
        <v>0.21583023968328799</v>
      </c>
      <c r="F213" s="58">
        <f>Samples_for_P_analysis[[#This Row],[Column7]]-$E$227</f>
        <v>0.21356002042419064</v>
      </c>
      <c r="G213" s="68">
        <f>(Samples_for_P_analysis[[#This Row],[Column12]]*50/1000)/Samples_for_P_analysis[[#This Row],[Column2]]</f>
        <v>1.0551384408309814E-2</v>
      </c>
      <c r="H213" s="58">
        <v>4.1065600000000001E-2</v>
      </c>
      <c r="I213" s="81">
        <f>(Samples_for_P_analysis[[#This Row],[Column43]]*50/1000)/Samples_for_P_analysis[[#This Row],[Column2]]</f>
        <v>2.028932806324111E-3</v>
      </c>
      <c r="J213" s="71">
        <v>4.7544675147636726</v>
      </c>
      <c r="K213" s="71">
        <f>Samples_for_P_analysis[[#This Row],[Column5]]-$J$227</f>
        <v>4.7451964776071973</v>
      </c>
      <c r="L213">
        <f>(Samples_for_P_analysis[[#This Row],[Column11]]*45/1000)/Samples_for_P_analysis[[#This Row],[Column2]]</f>
        <v>0.21100181965644652</v>
      </c>
      <c r="M213" t="s">
        <v>3</v>
      </c>
      <c r="N213" s="88">
        <f>Samples_for_P_analysis[[#This Row],[Column32]]+Samples_for_P_analysis[[#This Row],[Column4]]+Samples_for_P_analysis[[#This Row],[Column42]]+Samples_for_P_analysis[[#This Row],[Column8]]</f>
        <v>0.26359579299756264</v>
      </c>
      <c r="O213">
        <f>Samples_for_P_analysis[[#This Row],[Column9]]*1000</f>
        <v>263.59579299756263</v>
      </c>
    </row>
    <row r="214" spans="1:15">
      <c r="A214" s="5" t="s">
        <v>238</v>
      </c>
      <c r="B214" s="10">
        <v>1.0760000000000001</v>
      </c>
      <c r="C214" s="51">
        <v>7.9621800000000006E-2</v>
      </c>
      <c r="D214" s="68">
        <f>(Samples_for_P_analysis[[#This Row],[Column3]]*50/1000)/Samples_for_P_analysis[[#This Row],[Column2]]</f>
        <v>3.6998977695167287E-3</v>
      </c>
      <c r="E214" s="58">
        <v>0.14042378012808801</v>
      </c>
      <c r="F214" s="58">
        <f>Samples_for_P_analysis[[#This Row],[Column7]]-$E$227</f>
        <v>0.13815356086899067</v>
      </c>
      <c r="G214" s="68">
        <f>(Samples_for_P_analysis[[#This Row],[Column12]]*50/1000)/Samples_for_P_analysis[[#This Row],[Column2]]</f>
        <v>6.41977513331741E-3</v>
      </c>
      <c r="I214" s="81"/>
      <c r="J214" s="71">
        <v>2.8038493813942735</v>
      </c>
      <c r="K214" s="71">
        <f>Samples_for_P_analysis[[#This Row],[Column5]]-$J$227</f>
        <v>2.7945783442377987</v>
      </c>
      <c r="L214">
        <f>(Samples_for_P_analysis[[#This Row],[Column11]]*45/1000)/Samples_for_P_analysis[[#This Row],[Column2]]</f>
        <v>0.1168736296381979</v>
      </c>
      <c r="M214" t="s">
        <v>3</v>
      </c>
      <c r="N214" s="88">
        <f>Samples_for_P_analysis[[#This Row],[Column32]]+Samples_for_P_analysis[[#This Row],[Column4]]+Samples_for_P_analysis[[#This Row],[Column42]]+Samples_for_P_analysis[[#This Row],[Column8]]</f>
        <v>0.12699330254103205</v>
      </c>
      <c r="O214">
        <f>Samples_for_P_analysis[[#This Row],[Column9]]*1000</f>
        <v>126.99330254103205</v>
      </c>
    </row>
    <row r="215" spans="1:15">
      <c r="A215" s="5" t="s">
        <v>239</v>
      </c>
      <c r="B215" s="10">
        <v>1.002</v>
      </c>
      <c r="C215" s="51">
        <v>0.11170679999999999</v>
      </c>
      <c r="D215" s="68">
        <f>(Samples_for_P_analysis[[#This Row],[Column3]]*50/1000)/Samples_for_P_analysis[[#This Row],[Column2]]</f>
        <v>5.5741916167664661E-3</v>
      </c>
      <c r="E215" s="58">
        <v>7.7759132298283296E-2</v>
      </c>
      <c r="F215" s="58">
        <f>Samples_for_P_analysis[[#This Row],[Column7]]-$E$227</f>
        <v>7.5488913039185951E-2</v>
      </c>
      <c r="G215" s="68">
        <f>(Samples_for_P_analysis[[#This Row],[Column12]]*50/1000)/Samples_for_P_analysis[[#This Row],[Column2]]</f>
        <v>3.7669118283026925E-3</v>
      </c>
      <c r="H215" s="58">
        <v>1.0703999999999991E-3</v>
      </c>
      <c r="I215" s="81">
        <f>(Samples_for_P_analysis[[#This Row],[Column43]]*50/1000)/Samples_for_P_analysis[[#This Row],[Column2]]</f>
        <v>5.3413173652694565E-5</v>
      </c>
      <c r="J215" s="71">
        <v>1.2216568382154049</v>
      </c>
      <c r="K215" s="71">
        <f>Samples_for_P_analysis[[#This Row],[Column5]]-$J$227</f>
        <v>1.2123858010589301</v>
      </c>
      <c r="L215">
        <f>(Samples_for_P_analysis[[#This Row],[Column11]]*45/1000)/Samples_for_P_analysis[[#This Row],[Column2]]</f>
        <v>5.444846411941303E-2</v>
      </c>
      <c r="M215" t="s">
        <v>3</v>
      </c>
      <c r="N215" s="88">
        <f>Samples_for_P_analysis[[#This Row],[Column32]]+Samples_for_P_analysis[[#This Row],[Column4]]+Samples_for_P_analysis[[#This Row],[Column42]]+Samples_for_P_analysis[[#This Row],[Column8]]</f>
        <v>6.384298073813488E-2</v>
      </c>
      <c r="O215">
        <f>Samples_for_P_analysis[[#This Row],[Column9]]*1000</f>
        <v>63.842980738134884</v>
      </c>
    </row>
    <row r="216" spans="1:15">
      <c r="A216" s="5" t="s">
        <v>240</v>
      </c>
      <c r="B216" s="10">
        <v>1.0089999999999999</v>
      </c>
      <c r="C216" s="51">
        <v>0.75725700000000007</v>
      </c>
      <c r="D216" s="68">
        <f>(Samples_for_P_analysis[[#This Row],[Column3]]*50/1000)/Samples_for_P_analysis[[#This Row],[Column2]]</f>
        <v>3.7525123885034692E-2</v>
      </c>
      <c r="E216" s="58">
        <v>0.21941421778723799</v>
      </c>
      <c r="F216" s="58">
        <f>Samples_for_P_analysis[[#This Row],[Column7]]-$E$227</f>
        <v>0.21714399852814065</v>
      </c>
      <c r="G216" s="68">
        <f>(Samples_for_P_analysis[[#This Row],[Column12]]*50/1000)/Samples_for_P_analysis[[#This Row],[Column2]]</f>
        <v>1.0760356715963364E-2</v>
      </c>
      <c r="H216" s="58">
        <v>6.2491600000000001E-2</v>
      </c>
      <c r="I216" s="81">
        <f>(Samples_for_P_analysis[[#This Row],[Column43]]*50/1000)/Samples_for_P_analysis[[#This Row],[Column2]]</f>
        <v>3.0967096134786923E-3</v>
      </c>
      <c r="J216" s="71">
        <v>3.8310930058587513</v>
      </c>
      <c r="K216" s="71">
        <f>Samples_for_P_analysis[[#This Row],[Column5]]-$J$227</f>
        <v>3.8218219687022765</v>
      </c>
      <c r="L216">
        <f>(Samples_for_P_analysis[[#This Row],[Column11]]*45/1000)/Samples_for_P_analysis[[#This Row],[Column2]]</f>
        <v>0.17044795697879331</v>
      </c>
      <c r="M216" t="s">
        <v>3</v>
      </c>
      <c r="N216" s="88">
        <f>Samples_for_P_analysis[[#This Row],[Column32]]+Samples_for_P_analysis[[#This Row],[Column4]]+Samples_for_P_analysis[[#This Row],[Column42]]+Samples_for_P_analysis[[#This Row],[Column8]]</f>
        <v>0.22183014719327004</v>
      </c>
      <c r="O216">
        <f>Samples_for_P_analysis[[#This Row],[Column9]]*1000</f>
        <v>221.83014719327005</v>
      </c>
    </row>
    <row r="217" spans="1:15">
      <c r="A217" s="5" t="s">
        <v>241</v>
      </c>
      <c r="B217" s="10">
        <v>1.0089999999999999</v>
      </c>
      <c r="C217" s="51">
        <v>6.5504400000000018E-2</v>
      </c>
      <c r="D217" s="68">
        <f>(Samples_for_P_analysis[[#This Row],[Column3]]*50/1000)/Samples_for_P_analysis[[#This Row],[Column2]]</f>
        <v>3.2460059464816662E-3</v>
      </c>
      <c r="E217" s="58">
        <v>0.115698728729977</v>
      </c>
      <c r="F217" s="58">
        <f>Samples_for_P_analysis[[#This Row],[Column7]]-$E$227</f>
        <v>0.11342850947087965</v>
      </c>
      <c r="G217" s="68">
        <f>(Samples_for_P_analysis[[#This Row],[Column12]]*50/1000)/Samples_for_P_analysis[[#This Row],[Column2]]</f>
        <v>5.6208379321545914E-3</v>
      </c>
      <c r="H217" s="58">
        <v>1.8211199999999997E-2</v>
      </c>
      <c r="I217" s="81">
        <f>(Samples_for_P_analysis[[#This Row],[Column43]]*50/1000)/Samples_for_P_analysis[[#This Row],[Column2]]</f>
        <v>9.0243805748265599E-4</v>
      </c>
      <c r="J217" s="71">
        <v>1.9631226806356796</v>
      </c>
      <c r="K217" s="71">
        <f>Samples_for_P_analysis[[#This Row],[Column5]]-$J$227</f>
        <v>1.9538516434792048</v>
      </c>
      <c r="L217">
        <f>(Samples_for_P_analysis[[#This Row],[Column11]]*45/1000)/Samples_for_P_analysis[[#This Row],[Column2]]</f>
        <v>8.7139072305811915E-2</v>
      </c>
      <c r="M217" t="s">
        <v>3</v>
      </c>
      <c r="N217" s="88">
        <f>Samples_for_P_analysis[[#This Row],[Column32]]+Samples_for_P_analysis[[#This Row],[Column4]]+Samples_for_P_analysis[[#This Row],[Column42]]+Samples_for_P_analysis[[#This Row],[Column8]]</f>
        <v>9.6908354241930825E-2</v>
      </c>
      <c r="O217">
        <f>Samples_for_P_analysis[[#This Row],[Column9]]*1000</f>
        <v>96.908354241930823</v>
      </c>
    </row>
    <row r="218" spans="1:15">
      <c r="A218" s="5" t="s">
        <v>242</v>
      </c>
      <c r="B218" s="10">
        <v>1.028</v>
      </c>
      <c r="C218" s="51">
        <v>0.18357720000000002</v>
      </c>
      <c r="D218" s="68">
        <f>(Samples_for_P_analysis[[#This Row],[Column3]]*50/1000)/Samples_for_P_analysis[[#This Row],[Column2]]</f>
        <v>8.9288521400778236E-3</v>
      </c>
      <c r="E218" s="58">
        <v>0.237938767189558</v>
      </c>
      <c r="F218" s="58">
        <f>Samples_for_P_analysis[[#This Row],[Column7]]-$E$227</f>
        <v>0.23566854793046066</v>
      </c>
      <c r="G218" s="68">
        <f>(Samples_for_P_analysis[[#This Row],[Column12]]*50/1000)/Samples_for_P_analysis[[#This Row],[Column2]]</f>
        <v>1.1462478012181938E-2</v>
      </c>
      <c r="H218" s="58">
        <v>1.3925999999999997E-2</v>
      </c>
      <c r="I218" s="81">
        <f>(Samples_for_P_analysis[[#This Row],[Column43]]*50/1000)/Samples_for_P_analysis[[#This Row],[Column2]]</f>
        <v>6.7733463035019449E-4</v>
      </c>
      <c r="J218" s="71">
        <v>0.64411564587943215</v>
      </c>
      <c r="K218" s="71">
        <f>Samples_for_P_analysis[[#This Row],[Column5]]-$J$227</f>
        <v>0.63484460872295734</v>
      </c>
      <c r="L218">
        <f>(Samples_for_P_analysis[[#This Row],[Column11]]*45/1000)/Samples_for_P_analysis[[#This Row],[Column2]]</f>
        <v>2.7789890459662528E-2</v>
      </c>
      <c r="M218" t="s">
        <v>3</v>
      </c>
      <c r="N218" s="88">
        <f>Samples_for_P_analysis[[#This Row],[Column32]]+Samples_for_P_analysis[[#This Row],[Column4]]+Samples_for_P_analysis[[#This Row],[Column42]]+Samples_for_P_analysis[[#This Row],[Column8]]</f>
        <v>4.8858555242272478E-2</v>
      </c>
      <c r="O218">
        <f>Samples_for_P_analysis[[#This Row],[Column9]]*1000</f>
        <v>48.85855524227248</v>
      </c>
    </row>
    <row r="219" spans="1:15">
      <c r="A219" s="5" t="s">
        <v>243</v>
      </c>
      <c r="B219" s="10">
        <v>1.0760000000000001</v>
      </c>
      <c r="C219" s="51">
        <v>0.19302000000000002</v>
      </c>
      <c r="D219" s="68">
        <f>(Samples_for_P_analysis[[#This Row],[Column3]]*50/1000)/Samples_for_P_analysis[[#This Row],[Column2]]</f>
        <v>8.9693308550185882E-3</v>
      </c>
      <c r="E219" s="58">
        <v>0.199092182434011</v>
      </c>
      <c r="F219" s="58">
        <f>Samples_for_P_analysis[[#This Row],[Column7]]-$E$227</f>
        <v>0.19682196317491366</v>
      </c>
      <c r="G219" s="68">
        <f>(Samples_for_P_analysis[[#This Row],[Column12]]*50/1000)/Samples_for_P_analysis[[#This Row],[Column2]]</f>
        <v>9.1460020062692216E-3</v>
      </c>
      <c r="H219" s="58">
        <v>1.2497599999999998E-2</v>
      </c>
      <c r="I219" s="81">
        <f>(Samples_for_P_analysis[[#This Row],[Column43]]*50/1000)/Samples_for_P_analysis[[#This Row],[Column2]]</f>
        <v>5.8074349442379161E-4</v>
      </c>
      <c r="J219" s="71">
        <v>1.5017537135409633</v>
      </c>
      <c r="K219" s="71">
        <f>Samples_for_P_analysis[[#This Row],[Column5]]-$J$227</f>
        <v>1.4924826763844885</v>
      </c>
      <c r="L219">
        <f>(Samples_for_P_analysis[[#This Row],[Column11]]*45/1000)/Samples_for_P_analysis[[#This Row],[Column2]]</f>
        <v>6.2417955796749046E-2</v>
      </c>
      <c r="M219" t="s">
        <v>3</v>
      </c>
      <c r="N219" s="88">
        <f>Samples_for_P_analysis[[#This Row],[Column32]]+Samples_for_P_analysis[[#This Row],[Column4]]+Samples_for_P_analysis[[#This Row],[Column42]]+Samples_for_P_analysis[[#This Row],[Column8]]</f>
        <v>8.1114032152460644E-2</v>
      </c>
      <c r="O219">
        <f>Samples_for_P_analysis[[#This Row],[Column9]]*1000</f>
        <v>81.114032152460638</v>
      </c>
    </row>
    <row r="220" spans="1:15">
      <c r="A220" s="5" t="s">
        <v>244</v>
      </c>
      <c r="B220" s="13">
        <v>1</v>
      </c>
      <c r="C220" s="51">
        <v>7.32048E-2</v>
      </c>
      <c r="D220" s="68">
        <f>(Samples_for_P_analysis[[#This Row],[Column3]]*50/1000)/Samples_for_P_analysis[[#This Row],[Column2]]</f>
        <v>3.6602399999999999E-3</v>
      </c>
      <c r="E220" s="58">
        <v>0.20952529660777999</v>
      </c>
      <c r="F220" s="58">
        <f>Samples_for_P_analysis[[#This Row],[Column7]]-$E$227</f>
        <v>0.20725507734868265</v>
      </c>
      <c r="G220" s="68">
        <f>(Samples_for_P_analysis[[#This Row],[Column12]]*50/1000)/Samples_for_P_analysis[[#This Row],[Column2]]</f>
        <v>1.0362753867434134E-2</v>
      </c>
      <c r="H220" s="58">
        <v>1.1069199999999998E-2</v>
      </c>
      <c r="I220" s="81">
        <f>(Samples_for_P_analysis[[#This Row],[Column43]]*50/1000)/Samples_for_P_analysis[[#This Row],[Column2]]</f>
        <v>5.5345999999999987E-4</v>
      </c>
      <c r="J220" s="71">
        <v>0.89265135839389753</v>
      </c>
      <c r="K220" s="71">
        <f>Samples_for_P_analysis[[#This Row],[Column5]]-$J$227</f>
        <v>0.88338032123742272</v>
      </c>
      <c r="L220">
        <f>(Samples_for_P_analysis[[#This Row],[Column11]]*45/1000)/Samples_for_P_analysis[[#This Row],[Column2]]</f>
        <v>3.9752114455684023E-2</v>
      </c>
      <c r="M220" t="s">
        <v>3</v>
      </c>
      <c r="N220" s="88">
        <f>Samples_for_P_analysis[[#This Row],[Column32]]+Samples_for_P_analysis[[#This Row],[Column4]]+Samples_for_P_analysis[[#This Row],[Column42]]+Samples_for_P_analysis[[#This Row],[Column8]]</f>
        <v>5.4328568323118158E-2</v>
      </c>
      <c r="O220">
        <f>Samples_for_P_analysis[[#This Row],[Column9]]*1000</f>
        <v>54.328568323118155</v>
      </c>
    </row>
    <row r="221" spans="1:15">
      <c r="A221" s="5" t="s">
        <v>245</v>
      </c>
      <c r="B221" s="10">
        <v>1.0129999999999999</v>
      </c>
      <c r="C221" s="51">
        <v>9.6306000000000003E-2</v>
      </c>
      <c r="D221" s="68">
        <f>(Samples_for_P_analysis[[#This Row],[Column3]]*50/1000)/Samples_for_P_analysis[[#This Row],[Column2]]</f>
        <v>4.7535044422507416E-3</v>
      </c>
      <c r="E221" s="58">
        <v>0.30367618152259701</v>
      </c>
      <c r="F221" s="58">
        <f>Samples_for_P_analysis[[#This Row],[Column7]]-$E$227</f>
        <v>0.30140596226349964</v>
      </c>
      <c r="G221" s="68">
        <f>(Samples_for_P_analysis[[#This Row],[Column12]]*50/1000)/Samples_for_P_analysis[[#This Row],[Column2]]</f>
        <v>1.4876898433538975E-2</v>
      </c>
      <c r="H221" s="58">
        <v>0.20247479999999995</v>
      </c>
      <c r="I221" s="81">
        <f>(Samples_for_P_analysis[[#This Row],[Column43]]*50/1000)/Samples_for_P_analysis[[#This Row],[Column2]]</f>
        <v>9.9938203356367203E-3</v>
      </c>
      <c r="J221" s="71">
        <v>2.2094844851938915</v>
      </c>
      <c r="K221" s="71">
        <f>Samples_for_P_analysis[[#This Row],[Column5]]-$J$227</f>
        <v>2.2002134480374167</v>
      </c>
      <c r="L221">
        <f>(Samples_for_P_analysis[[#This Row],[Column11]]*45/1000)/Samples_for_P_analysis[[#This Row],[Column2]]</f>
        <v>9.7738998185275178E-2</v>
      </c>
      <c r="M221" t="s">
        <v>3</v>
      </c>
      <c r="N221" s="88">
        <f>Samples_for_P_analysis[[#This Row],[Column32]]+Samples_for_P_analysis[[#This Row],[Column4]]+Samples_for_P_analysis[[#This Row],[Column42]]+Samples_for_P_analysis[[#This Row],[Column8]]</f>
        <v>0.12736322139670161</v>
      </c>
      <c r="O221">
        <f>Samples_for_P_analysis[[#This Row],[Column9]]*1000</f>
        <v>127.36322139670162</v>
      </c>
    </row>
    <row r="222" spans="1:15">
      <c r="A222" s="5" t="s">
        <v>246</v>
      </c>
      <c r="B222" s="10">
        <v>1.016</v>
      </c>
      <c r="C222" s="51">
        <v>0.10657320000000001</v>
      </c>
      <c r="D222" s="68">
        <f>(Samples_for_P_analysis[[#This Row],[Column3]]*50/1000)/Samples_for_P_analysis[[#This Row],[Column2]]</f>
        <v>5.2447440944881889E-3</v>
      </c>
      <c r="E222" s="58">
        <v>0.22900080952541199</v>
      </c>
      <c r="F222" s="58">
        <f>Samples_for_P_analysis[[#This Row],[Column7]]-$E$227</f>
        <v>0.22673059026631465</v>
      </c>
      <c r="G222" s="68">
        <f>(Samples_for_P_analysis[[#This Row],[Column12]]*50/1000)/Samples_for_P_analysis[[#This Row],[Column2]]</f>
        <v>1.1158001489483987E-2</v>
      </c>
      <c r="H222" s="58">
        <v>2.1068E-2</v>
      </c>
      <c r="I222" s="81">
        <f>(Samples_for_P_analysis[[#This Row],[Column43]]*50/1000)/Samples_for_P_analysis[[#This Row],[Column2]]</f>
        <v>1.0368110236220471E-3</v>
      </c>
      <c r="J222" s="71">
        <v>1.6850203830017432</v>
      </c>
      <c r="K222" s="71">
        <f>Samples_for_P_analysis[[#This Row],[Column5]]-$J$227</f>
        <v>1.6757493458452684</v>
      </c>
      <c r="L222">
        <f>(Samples_for_P_analysis[[#This Row],[Column11]]*45/1000)/Samples_for_P_analysis[[#This Row],[Column2]]</f>
        <v>7.4221181656532548E-2</v>
      </c>
      <c r="M222" t="s">
        <v>3</v>
      </c>
      <c r="N222" s="88">
        <f>Samples_for_P_analysis[[#This Row],[Column32]]+Samples_for_P_analysis[[#This Row],[Column4]]+Samples_for_P_analysis[[#This Row],[Column42]]+Samples_for_P_analysis[[#This Row],[Column8]]</f>
        <v>9.1660738264126768E-2</v>
      </c>
      <c r="O222">
        <f>Samples_for_P_analysis[[#This Row],[Column9]]*1000</f>
        <v>91.660738264126763</v>
      </c>
    </row>
    <row r="223" spans="1:15">
      <c r="A223" s="5" t="s">
        <v>247</v>
      </c>
      <c r="B223" s="10">
        <v>1.008</v>
      </c>
      <c r="C223" s="51">
        <v>0.12197400000000003</v>
      </c>
      <c r="D223" s="68">
        <f>(Samples_for_P_analysis[[#This Row],[Column3]]*50/1000)/Samples_for_P_analysis[[#This Row],[Column2]]</f>
        <v>6.0502976190476201E-3</v>
      </c>
      <c r="E223" s="58">
        <v>0.26037161173284201</v>
      </c>
      <c r="F223" s="58">
        <f>Samples_for_P_analysis[[#This Row],[Column7]]-$E$227</f>
        <v>0.25810139247374464</v>
      </c>
      <c r="G223" s="68">
        <f>(Samples_for_P_analysis[[#This Row],[Column12]]*50/1000)/Samples_for_P_analysis[[#This Row],[Column2]]</f>
        <v>1.2802648436197651E-2</v>
      </c>
      <c r="H223" s="58">
        <v>1.9639599999999997E-2</v>
      </c>
      <c r="I223" s="81">
        <f>(Samples_for_P_analysis[[#This Row],[Column43]]*50/1000)/Samples_for_P_analysis[[#This Row],[Column2]]</f>
        <v>9.7418650793650789E-4</v>
      </c>
      <c r="J223" s="71">
        <v>1.54333417375132</v>
      </c>
      <c r="K223" s="71">
        <f>Samples_for_P_analysis[[#This Row],[Column5]]-$J$227</f>
        <v>1.5340631365948452</v>
      </c>
      <c r="L223">
        <f>(Samples_for_P_analysis[[#This Row],[Column11]]*45/1000)/Samples_for_P_analysis[[#This Row],[Column2]]</f>
        <v>6.8484961455127016E-2</v>
      </c>
      <c r="M223" t="s">
        <v>3</v>
      </c>
      <c r="N223" s="88">
        <f>Samples_for_P_analysis[[#This Row],[Column32]]+Samples_for_P_analysis[[#This Row],[Column4]]+Samples_for_P_analysis[[#This Row],[Column42]]+Samples_for_P_analysis[[#This Row],[Column8]]</f>
        <v>8.8312094018308793E-2</v>
      </c>
      <c r="O223">
        <f>Samples_for_P_analysis[[#This Row],[Column9]]*1000</f>
        <v>88.312094018308798</v>
      </c>
    </row>
    <row r="224" spans="1:15">
      <c r="A224" s="5" t="s">
        <v>248</v>
      </c>
      <c r="B224" s="10">
        <v>1.008</v>
      </c>
      <c r="C224" s="51">
        <v>0.41972280000000006</v>
      </c>
      <c r="D224" s="68">
        <f>(Samples_for_P_analysis[[#This Row],[Column3]]*50/1000)/Samples_for_P_analysis[[#This Row],[Column2]]</f>
        <v>2.0819583333333336E-2</v>
      </c>
      <c r="E224" s="58">
        <v>0.35824389722492</v>
      </c>
      <c r="F224" s="58">
        <f>Samples_for_P_analysis[[#This Row],[Column7]]-$E$227</f>
        <v>0.35597367796582263</v>
      </c>
      <c r="G224" s="68">
        <f>(Samples_for_P_analysis[[#This Row],[Column12]]*50/1000)/Samples_for_P_analysis[[#This Row],[Column2]]</f>
        <v>1.7657424502272947E-2</v>
      </c>
      <c r="H224" s="58">
        <v>0.23247119999999999</v>
      </c>
      <c r="I224" s="81">
        <f>(Samples_for_P_analysis[[#This Row],[Column43]]*50/1000)/Samples_for_P_analysis[[#This Row],[Column2]]</f>
        <v>1.1531309523809524E-2</v>
      </c>
      <c r="J224" s="71">
        <v>7.6572391055811835</v>
      </c>
      <c r="K224" s="71">
        <f>Samples_for_P_analysis[[#This Row],[Column5]]-$J$227</f>
        <v>7.6479680684247082</v>
      </c>
      <c r="L224">
        <f>(Samples_for_P_analysis[[#This Row],[Column11]]*45/1000)/Samples_for_P_analysis[[#This Row],[Column2]]</f>
        <v>0.34142714591181733</v>
      </c>
      <c r="M224" t="s">
        <v>3</v>
      </c>
      <c r="N224" s="88">
        <f>Samples_for_P_analysis[[#This Row],[Column32]]+Samples_for_P_analysis[[#This Row],[Column4]]+Samples_for_P_analysis[[#This Row],[Column42]]+Samples_for_P_analysis[[#This Row],[Column8]]</f>
        <v>0.39143546327123313</v>
      </c>
      <c r="O224">
        <f>Samples_for_P_analysis[[#This Row],[Column9]]*1000</f>
        <v>391.43546327123312</v>
      </c>
    </row>
    <row r="225" spans="1:15">
      <c r="A225" s="31" t="s">
        <v>285</v>
      </c>
      <c r="B225" s="32">
        <v>1.014</v>
      </c>
      <c r="C225" s="54">
        <v>0.14892540000000001</v>
      </c>
      <c r="D225" s="45">
        <f>(Samples_for_P_analysis[[#This Row],[Column3]]*50/1000)/Samples_for_P_analysis[[#This Row],[Column2]]</f>
        <v>7.34346153846154E-3</v>
      </c>
      <c r="E225" s="60">
        <v>0.23596538047281199</v>
      </c>
      <c r="F225" s="58">
        <f>Samples_for_P_analysis[[#This Row],[Column7]]-$E$227</f>
        <v>0.23369516121371464</v>
      </c>
      <c r="G225" s="68">
        <f>(Samples_for_P_analysis[[#This Row],[Column12]]*50/1000)/Samples_for_P_analysis[[#This Row],[Column2]]</f>
        <v>1.1523430040123996E-2</v>
      </c>
      <c r="H225" s="60">
        <v>5.3555999999999986E-3</v>
      </c>
      <c r="I225" s="86">
        <f>(Samples_for_P_analysis[[#This Row],[Column43]]*50/1000)/Samples_for_P_analysis[[#This Row],[Column2]]</f>
        <v>2.6408284023668628E-4</v>
      </c>
      <c r="J225" s="73">
        <v>3.2890862434691335</v>
      </c>
      <c r="K225" s="71">
        <f>Samples_for_P_analysis[[#This Row],[Column5]]-$J$227</f>
        <v>3.2798152063126587</v>
      </c>
      <c r="L225">
        <f>(Samples_for_P_analysis[[#This Row],[Column11]]*45/1000)/Samples_for_P_analysis[[#This Row],[Column2]]</f>
        <v>0.14555392927423041</v>
      </c>
      <c r="N225" s="88">
        <f>Samples_for_P_analysis[[#This Row],[Column32]]+Samples_for_P_analysis[[#This Row],[Column4]]+Samples_for_P_analysis[[#This Row],[Column42]]+Samples_for_P_analysis[[#This Row],[Column8]]</f>
        <v>0.16468490369305264</v>
      </c>
      <c r="O225">
        <f>Samples_for_P_analysis[[#This Row],[Column9]]*1000</f>
        <v>164.68490369305263</v>
      </c>
    </row>
    <row r="226" spans="1:15">
      <c r="A226" s="31" t="s">
        <v>286</v>
      </c>
      <c r="B226" s="32">
        <v>1.024</v>
      </c>
      <c r="C226" s="54">
        <v>0.15277560000000004</v>
      </c>
      <c r="D226" s="45">
        <f>(Samples_for_P_analysis[[#This Row],[Column3]]*50/1000)/Samples_for_P_analysis[[#This Row],[Column2]]</f>
        <v>7.4597460937500023E-3</v>
      </c>
      <c r="E226" s="60">
        <v>0.223806240034257</v>
      </c>
      <c r="F226" s="58">
        <f>Samples_for_P_analysis[[#This Row],[Column7]]-$E$227</f>
        <v>0.22153602077515966</v>
      </c>
      <c r="G226" s="68">
        <f>(Samples_for_P_analysis[[#This Row],[Column12]]*50/1000)/Samples_for_P_analysis[[#This Row],[Column2]]</f>
        <v>1.0817188514412093E-2</v>
      </c>
      <c r="H226" s="60">
        <v>2.4987999999999989E-3</v>
      </c>
      <c r="I226" s="86">
        <f>(Samples_for_P_analysis[[#This Row],[Column43]]*50/1000)/Samples_for_P_analysis[[#This Row],[Column2]]</f>
        <v>1.2201171874999995E-4</v>
      </c>
      <c r="J226" s="73">
        <v>3.2616531228082422</v>
      </c>
      <c r="K226" s="71">
        <f>Samples_for_P_analysis[[#This Row],[Column5]]-$J$227</f>
        <v>3.2523820856517673</v>
      </c>
      <c r="L226">
        <f>(Samples_for_P_analysis[[#This Row],[Column11]]*45/1000)/Samples_for_P_analysis[[#This Row],[Column2]]</f>
        <v>0.14292694712336868</v>
      </c>
      <c r="N226" s="88">
        <f>Samples_for_P_analysis[[#This Row],[Column32]]+Samples_for_P_analysis[[#This Row],[Column4]]+Samples_for_P_analysis[[#This Row],[Column42]]+Samples_for_P_analysis[[#This Row],[Column8]]</f>
        <v>0.16132589345028076</v>
      </c>
      <c r="O226">
        <f>Samples_for_P_analysis[[#This Row],[Column9]]*1000</f>
        <v>161.32589345028074</v>
      </c>
    </row>
    <row r="227" spans="1:15">
      <c r="A227" s="66" t="s">
        <v>287</v>
      </c>
      <c r="B227" s="20">
        <v>0</v>
      </c>
      <c r="C227" s="20">
        <v>-7.6493999999999989E-3</v>
      </c>
      <c r="D227" s="44"/>
      <c r="E227" s="44">
        <v>2.2702192590973499E-3</v>
      </c>
      <c r="F227" s="58">
        <f>Samples_for_P_analysis[[#This Row],[Column7]]-$E$227</f>
        <v>0</v>
      </c>
      <c r="G227" s="44"/>
      <c r="H227" s="44">
        <v>-1.7863999999999996E-3</v>
      </c>
      <c r="I227" s="84"/>
      <c r="J227" s="44">
        <v>9.2710371564748238E-3</v>
      </c>
      <c r="K227" s="44"/>
      <c r="L227" s="22"/>
      <c r="N227" s="88">
        <f>Samples_for_P_analysis[[#This Row],[Column32]]+Samples_for_P_analysis[[#This Row],[Column4]]+Samples_for_P_analysis[[#This Row],[Column42]]+Samples_for_P_analysis[[#This Row],[Column8]]</f>
        <v>0</v>
      </c>
      <c r="O227">
        <f>Samples_for_P_analysis[[#This Row],[Column9]]*1000</f>
        <v>0</v>
      </c>
    </row>
    <row r="228" spans="1:15">
      <c r="A228" s="5" t="s">
        <v>249</v>
      </c>
      <c r="B228" s="10">
        <v>1.075</v>
      </c>
      <c r="C228" s="51">
        <v>0.49294199999999999</v>
      </c>
      <c r="D228" s="68">
        <f>(Samples_for_P_analysis[[#This Row],[Column3]]*50/1000)/Samples_for_P_analysis[[#This Row],[Column2]]</f>
        <v>2.2927534883720929E-2</v>
      </c>
      <c r="E228" s="58">
        <v>0.436503247326055</v>
      </c>
      <c r="G228" s="68">
        <f>(Samples_for_P_analysis[[#This Row],[Column7]]*50/1000)/Samples_for_P_analysis[[#This Row],[Column2]]</f>
        <v>2.030247661981651E-2</v>
      </c>
      <c r="H228" s="58">
        <v>1.3957757</v>
      </c>
      <c r="I228" s="81">
        <f>(Samples_for_P_analysis[[#This Row],[Column43]]*50/1000)/Samples_for_P_analysis[[#This Row],[Column2]]</f>
        <v>6.4919800000000014E-2</v>
      </c>
      <c r="J228" s="71">
        <v>2.5325382813159614</v>
      </c>
      <c r="K228" s="71">
        <f>Samples_for_P_analysis[[#This Row],[Column5]]-$J$252</f>
        <v>2.5300221760260388</v>
      </c>
      <c r="L228">
        <f>(Samples_for_P_analysis[[#This Row],[Column11]]*45/1000)/Samples_for_P_analysis[[#This Row],[Column2]]</f>
        <v>0.10590790504295047</v>
      </c>
      <c r="M228" t="s">
        <v>3</v>
      </c>
      <c r="N228" s="88">
        <f>Samples_for_P_analysis[[#This Row],[Column32]]+Samples_for_P_analysis[[#This Row],[Column4]]+Samples_for_P_analysis[[#This Row],[Column42]]+Samples_for_P_analysis[[#This Row],[Column8]]</f>
        <v>0.21405771654648792</v>
      </c>
      <c r="O228">
        <f>Samples_for_P_analysis[[#This Row],[Column9]]*1000</f>
        <v>214.05771654648791</v>
      </c>
    </row>
    <row r="229" spans="1:15">
      <c r="A229" s="5" t="s">
        <v>250</v>
      </c>
      <c r="B229" s="10">
        <v>1.048</v>
      </c>
      <c r="C229" s="51">
        <v>9.3470399999999981E-2</v>
      </c>
      <c r="D229" s="68">
        <f>(Samples_for_P_analysis[[#This Row],[Column3]]*50/1000)/Samples_for_P_analysis[[#This Row],[Column2]]</f>
        <v>4.4594656488549603E-3</v>
      </c>
      <c r="E229" s="58">
        <v>0.16342280526141401</v>
      </c>
      <c r="G229" s="68">
        <f>(Samples_for_P_analysis[[#This Row],[Column7]]*50/1000)/Samples_for_P_analysis[[#This Row],[Column2]]</f>
        <v>7.7968895639987604E-3</v>
      </c>
      <c r="H229" s="58">
        <v>2.2580800000000002E-2</v>
      </c>
      <c r="I229" s="81">
        <f>(Samples_for_P_analysis[[#This Row],[Column43]]*50/1000)/Samples_for_P_analysis[[#This Row],[Column2]]</f>
        <v>1.0773282442748092E-3</v>
      </c>
      <c r="J229" s="71">
        <v>1.5341538658385534</v>
      </c>
      <c r="K229" s="71">
        <f>Samples_for_P_analysis[[#This Row],[Column5]]-$J$252</f>
        <v>1.5316377605486311</v>
      </c>
      <c r="L229">
        <f>(Samples_for_P_analysis[[#This Row],[Column11]]*45/1000)/Samples_for_P_analysis[[#This Row],[Column2]]</f>
        <v>6.5766888573175961E-2</v>
      </c>
      <c r="M229" t="s">
        <v>3</v>
      </c>
      <c r="N229" s="88">
        <f>Samples_for_P_analysis[[#This Row],[Column32]]+Samples_for_P_analysis[[#This Row],[Column4]]+Samples_for_P_analysis[[#This Row],[Column42]]+Samples_for_P_analysis[[#This Row],[Column8]]</f>
        <v>7.9100572030304489E-2</v>
      </c>
      <c r="O229">
        <f>Samples_for_P_analysis[[#This Row],[Column9]]*1000</f>
        <v>79.100572030304491</v>
      </c>
    </row>
    <row r="230" spans="1:15">
      <c r="A230" s="5" t="s">
        <v>251</v>
      </c>
      <c r="B230" s="10">
        <v>1.018</v>
      </c>
      <c r="C230" s="51">
        <v>0.185173</v>
      </c>
      <c r="D230" s="68">
        <f>(Samples_for_P_analysis[[#This Row],[Column3]]*50/1000)/Samples_for_P_analysis[[#This Row],[Column2]]</f>
        <v>9.0949410609037322E-3</v>
      </c>
      <c r="E230" s="58">
        <v>0.15646373121294599</v>
      </c>
      <c r="G230" s="68">
        <f>(Samples_for_P_analysis[[#This Row],[Column7]]*50/1000)/Samples_for_P_analysis[[#This Row],[Column2]]</f>
        <v>7.6848590969030442E-3</v>
      </c>
      <c r="H230" s="58">
        <v>7.7621499999999996E-2</v>
      </c>
      <c r="I230" s="81">
        <f>(Samples_for_P_analysis[[#This Row],[Column43]]*50/1000)/Samples_for_P_analysis[[#This Row],[Column2]]</f>
        <v>3.8124508840864436E-3</v>
      </c>
      <c r="J230" s="71">
        <v>2.3867057794823885</v>
      </c>
      <c r="K230" s="71">
        <f>Samples_for_P_analysis[[#This Row],[Column5]]-$J$252</f>
        <v>2.384189674192466</v>
      </c>
      <c r="L230">
        <f>(Samples_for_P_analysis[[#This Row],[Column11]]*45/1000)/Samples_for_P_analysis[[#This Row],[Column2]]</f>
        <v>0.1053914885448536</v>
      </c>
      <c r="M230" t="s">
        <v>3</v>
      </c>
      <c r="N230" s="88">
        <f>Samples_for_P_analysis[[#This Row],[Column32]]+Samples_for_P_analysis[[#This Row],[Column4]]+Samples_for_P_analysis[[#This Row],[Column42]]+Samples_for_P_analysis[[#This Row],[Column8]]</f>
        <v>0.12598373958674683</v>
      </c>
      <c r="O230">
        <f>Samples_for_P_analysis[[#This Row],[Column9]]*1000</f>
        <v>125.98373958674684</v>
      </c>
    </row>
    <row r="231" spans="1:15">
      <c r="A231" s="5" t="s">
        <v>252</v>
      </c>
      <c r="B231" s="10">
        <v>1.028</v>
      </c>
      <c r="C231" s="51">
        <v>0.18391679999999999</v>
      </c>
      <c r="D231" s="68">
        <f>(Samples_for_P_analysis[[#This Row],[Column3]]*50/1000)/Samples_for_P_analysis[[#This Row],[Column2]]</f>
        <v>8.9453696498054472E-3</v>
      </c>
      <c r="E231" s="58">
        <v>0.20175268151731099</v>
      </c>
      <c r="G231" s="68">
        <f>(Samples_for_P_analysis[[#This Row],[Column7]]*50/1000)/Samples_for_P_analysis[[#This Row],[Column2]]</f>
        <v>9.8128736146552032E-3</v>
      </c>
      <c r="H231" s="58">
        <v>2.8226000000000005E-2</v>
      </c>
      <c r="I231" s="81">
        <f>(Samples_for_P_analysis[[#This Row],[Column43]]*50/1000)/Samples_for_P_analysis[[#This Row],[Column2]]</f>
        <v>1.3728599221789887E-3</v>
      </c>
      <c r="J231" s="71">
        <v>2.7879606649032951</v>
      </c>
      <c r="K231" s="71">
        <f>Samples_for_P_analysis[[#This Row],[Column5]]-$J$252</f>
        <v>2.7854445596133726</v>
      </c>
      <c r="L231">
        <f>(Samples_for_P_analysis[[#This Row],[Column11]]*45/1000)/Samples_for_P_analysis[[#This Row],[Column2]]</f>
        <v>0.12193093889358149</v>
      </c>
      <c r="M231" t="s">
        <v>3</v>
      </c>
      <c r="N231" s="88">
        <f>Samples_for_P_analysis[[#This Row],[Column32]]+Samples_for_P_analysis[[#This Row],[Column4]]+Samples_for_P_analysis[[#This Row],[Column42]]+Samples_for_P_analysis[[#This Row],[Column8]]</f>
        <v>0.14206204208022113</v>
      </c>
      <c r="O231">
        <f>Samples_for_P_analysis[[#This Row],[Column9]]*1000</f>
        <v>142.06204208022115</v>
      </c>
    </row>
    <row r="232" spans="1:15">
      <c r="A232" s="5" t="s">
        <v>253</v>
      </c>
      <c r="B232" s="10">
        <v>1.0249999999999999</v>
      </c>
      <c r="C232" s="51">
        <v>0.15753659999999997</v>
      </c>
      <c r="D232" s="68">
        <f>(Samples_for_P_analysis[[#This Row],[Column3]]*50/1000)/Samples_for_P_analysis[[#This Row],[Column2]]</f>
        <v>7.6847121951219496E-3</v>
      </c>
      <c r="E232" s="58">
        <v>8.0111805041367307E-2</v>
      </c>
      <c r="G232" s="68">
        <f>(Samples_for_P_analysis[[#This Row],[Column7]]*50/1000)/Samples_for_P_analysis[[#This Row],[Column2]]</f>
        <v>3.9078929288471863E-3</v>
      </c>
      <c r="H232" s="58">
        <v>4.2338999999999988E-3</v>
      </c>
      <c r="I232" s="81">
        <f>(Samples_for_P_analysis[[#This Row],[Column43]]*50/1000)/Samples_for_P_analysis[[#This Row],[Column2]]</f>
        <v>2.0653170731707314E-4</v>
      </c>
      <c r="J232" s="71">
        <v>1.9620697792302104</v>
      </c>
      <c r="K232" s="71">
        <f>Samples_for_P_analysis[[#This Row],[Column5]]-$J$252</f>
        <v>1.9595536739402881</v>
      </c>
      <c r="L232">
        <f>(Samples_for_P_analysis[[#This Row],[Column11]]*45/1000)/Samples_for_P_analysis[[#This Row],[Column2]]</f>
        <v>8.602918568518339E-2</v>
      </c>
      <c r="M232" t="s">
        <v>3</v>
      </c>
      <c r="N232" s="88">
        <f>Samples_for_P_analysis[[#This Row],[Column32]]+Samples_for_P_analysis[[#This Row],[Column4]]+Samples_for_P_analysis[[#This Row],[Column42]]+Samples_for_P_analysis[[#This Row],[Column8]]</f>
        <v>9.7828322516469599E-2</v>
      </c>
      <c r="O232">
        <f>Samples_for_P_analysis[[#This Row],[Column9]]*1000</f>
        <v>97.828322516469598</v>
      </c>
    </row>
    <row r="233" spans="1:15">
      <c r="A233" s="5" t="s">
        <v>254</v>
      </c>
      <c r="B233" s="10">
        <v>1.0389999999999999</v>
      </c>
      <c r="C233" s="51">
        <v>1.3119844000000001</v>
      </c>
      <c r="D233" s="68">
        <f>(Samples_for_P_analysis[[#This Row],[Column3]]*50/1000)/Samples_for_P_analysis[[#This Row],[Column2]]</f>
        <v>6.3136881616939367E-2</v>
      </c>
      <c r="E233" s="58">
        <v>0.51262430374247203</v>
      </c>
      <c r="G233" s="68">
        <f>(Samples_for_P_analysis[[#This Row],[Column7]]*50/1000)/Samples_for_P_analysis[[#This Row],[Column2]]</f>
        <v>2.4669119525624256E-2</v>
      </c>
      <c r="H233" s="58">
        <v>4.7789878000000003</v>
      </c>
      <c r="I233" s="81">
        <f>(Samples_for_P_analysis[[#This Row],[Column43]]*50/1000)/Samples_for_P_analysis[[#This Row],[Column2]]</f>
        <v>0.22998016361886431</v>
      </c>
      <c r="J233" s="71">
        <v>2.8576212782482084</v>
      </c>
      <c r="K233" s="71">
        <f>Samples_for_P_analysis[[#This Row],[Column5]]-$J$252</f>
        <v>2.8551051729582859</v>
      </c>
      <c r="L233">
        <f>(Samples_for_P_analysis[[#This Row],[Column11]]*45/1000)/Samples_for_P_analysis[[#This Row],[Column2]]</f>
        <v>0.12365710566229342</v>
      </c>
      <c r="M233" t="s">
        <v>3</v>
      </c>
      <c r="N233" s="88">
        <f>Samples_for_P_analysis[[#This Row],[Column32]]+Samples_for_P_analysis[[#This Row],[Column4]]+Samples_for_P_analysis[[#This Row],[Column42]]+Samples_for_P_analysis[[#This Row],[Column8]]</f>
        <v>0.44144327042372139</v>
      </c>
      <c r="O233">
        <f>Samples_for_P_analysis[[#This Row],[Column9]]*1000</f>
        <v>441.4432704237214</v>
      </c>
    </row>
    <row r="234" spans="1:15">
      <c r="A234" s="5" t="s">
        <v>255</v>
      </c>
      <c r="B234" s="10">
        <v>1.0920000000000001</v>
      </c>
      <c r="C234" s="51">
        <v>0.78438039999999998</v>
      </c>
      <c r="D234" s="68">
        <f>(Samples_for_P_analysis[[#This Row],[Column3]]*50/1000)/Samples_for_P_analysis[[#This Row],[Column2]]</f>
        <v>3.591485347985348E-2</v>
      </c>
      <c r="E234" s="58">
        <v>0.360827439723166</v>
      </c>
      <c r="G234" s="68">
        <f>(Samples_for_P_analysis[[#This Row],[Column7]]*50/1000)/Samples_for_P_analysis[[#This Row],[Column2]]</f>
        <v>1.6521402917727381E-2</v>
      </c>
      <c r="H234" s="58">
        <v>0.12560570000000001</v>
      </c>
      <c r="I234" s="81">
        <f>(Samples_for_P_analysis[[#This Row],[Column43]]*50/1000)/Samples_for_P_analysis[[#This Row],[Column2]]</f>
        <v>5.7511767399267407E-3</v>
      </c>
      <c r="J234" s="71">
        <v>4.0652965077271883</v>
      </c>
      <c r="K234" s="71">
        <f>Samples_for_P_analysis[[#This Row],[Column5]]-$J$252</f>
        <v>4.0627804024372658</v>
      </c>
      <c r="L234">
        <f>(Samples_for_P_analysis[[#This Row],[Column11]]*45/1000)/Samples_for_P_analysis[[#This Row],[Column2]]</f>
        <v>0.16742226933120599</v>
      </c>
      <c r="M234" t="s">
        <v>3</v>
      </c>
      <c r="N234" s="88">
        <f>Samples_for_P_analysis[[#This Row],[Column32]]+Samples_for_P_analysis[[#This Row],[Column4]]+Samples_for_P_analysis[[#This Row],[Column42]]+Samples_for_P_analysis[[#This Row],[Column8]]</f>
        <v>0.22560970246871359</v>
      </c>
      <c r="O234">
        <f>Samples_for_P_analysis[[#This Row],[Column9]]*1000</f>
        <v>225.60970246871358</v>
      </c>
    </row>
    <row r="235" spans="1:15">
      <c r="A235" s="5" t="s">
        <v>256</v>
      </c>
      <c r="B235" s="10">
        <v>1.0269999999999999</v>
      </c>
      <c r="C235" s="51">
        <v>0.19396639999999998</v>
      </c>
      <c r="D235" s="68">
        <f>(Samples_for_P_analysis[[#This Row],[Column3]]*50/1000)/Samples_for_P_analysis[[#This Row],[Column2]]</f>
        <v>9.4433495618305736E-3</v>
      </c>
      <c r="E235" s="58">
        <v>0.16081727516743799</v>
      </c>
      <c r="G235" s="68">
        <f>(Samples_for_P_analysis[[#This Row],[Column7]]*50/1000)/Samples_for_P_analysis[[#This Row],[Column2]]</f>
        <v>7.8294681191547234E-3</v>
      </c>
      <c r="H235" s="58">
        <v>1.2701699999999998E-2</v>
      </c>
      <c r="I235" s="81">
        <f>(Samples_for_P_analysis[[#This Row],[Column43]]*50/1000)/Samples_for_P_analysis[[#This Row],[Column2]]</f>
        <v>6.1838851022395314E-4</v>
      </c>
      <c r="J235" s="71">
        <v>2.5487662609177932</v>
      </c>
      <c r="K235" s="71">
        <f>Samples_for_P_analysis[[#This Row],[Column5]]-$J$252</f>
        <v>2.5462501556278707</v>
      </c>
      <c r="L235">
        <f>(Samples_for_P_analysis[[#This Row],[Column11]]*45/1000)/Samples_for_P_analysis[[#This Row],[Column2]]</f>
        <v>0.11156889678992618</v>
      </c>
      <c r="M235" t="s">
        <v>3</v>
      </c>
      <c r="N235" s="88">
        <f>Samples_for_P_analysis[[#This Row],[Column32]]+Samples_for_P_analysis[[#This Row],[Column4]]+Samples_for_P_analysis[[#This Row],[Column42]]+Samples_for_P_analysis[[#This Row],[Column8]]</f>
        <v>0.12946010298113544</v>
      </c>
      <c r="O235">
        <f>Samples_for_P_analysis[[#This Row],[Column9]]*1000</f>
        <v>129.46010298113544</v>
      </c>
    </row>
    <row r="236" spans="1:15">
      <c r="A236" s="5" t="s">
        <v>257</v>
      </c>
      <c r="B236" s="13">
        <v>1.04</v>
      </c>
      <c r="C236" s="51">
        <v>0.15628039999999999</v>
      </c>
      <c r="D236" s="68">
        <f>(Samples_for_P_analysis[[#This Row],[Column3]]*50/1000)/Samples_for_P_analysis[[#This Row],[Column2]]</f>
        <v>7.5134807692307688E-3</v>
      </c>
      <c r="E236" s="58">
        <v>5.9861229374261603E-2</v>
      </c>
      <c r="G236" s="68">
        <f>(Samples_for_P_analysis[[#This Row],[Column7]]*50/1000)/Samples_for_P_analysis[[#This Row],[Column2]]</f>
        <v>2.8779437199164233E-3</v>
      </c>
      <c r="I236" s="81"/>
      <c r="J236" s="71">
        <v>1.5779604122667348</v>
      </c>
      <c r="K236" s="71">
        <f>Samples_for_P_analysis[[#This Row],[Column5]]-$J$252</f>
        <v>1.5754443069768125</v>
      </c>
      <c r="L236">
        <f>(Samples_for_P_analysis[[#This Row],[Column11]]*45/1000)/Samples_for_P_analysis[[#This Row],[Column2]]</f>
        <v>6.8168263282650535E-2</v>
      </c>
      <c r="M236" t="s">
        <v>3</v>
      </c>
      <c r="N236" s="88">
        <f>Samples_for_P_analysis[[#This Row],[Column32]]+Samples_for_P_analysis[[#This Row],[Column4]]+Samples_for_P_analysis[[#This Row],[Column42]]+Samples_for_P_analysis[[#This Row],[Column8]]</f>
        <v>7.8559687771797726E-2</v>
      </c>
      <c r="O236">
        <f>Samples_for_P_analysis[[#This Row],[Column9]]*1000</f>
        <v>78.559687771797726</v>
      </c>
    </row>
    <row r="237" spans="1:15">
      <c r="A237" s="5" t="s">
        <v>258</v>
      </c>
      <c r="B237" s="10">
        <v>1.022</v>
      </c>
      <c r="C237" s="51">
        <v>0.17009859999999999</v>
      </c>
      <c r="D237" s="68">
        <f>(Samples_for_P_analysis[[#This Row],[Column3]]*50/1000)/Samples_for_P_analysis[[#This Row],[Column2]]</f>
        <v>8.3218493150684913E-3</v>
      </c>
      <c r="E237" s="58">
        <v>0.177824680464404</v>
      </c>
      <c r="G237" s="68">
        <f>(Samples_for_P_analysis[[#This Row],[Column7]]*50/1000)/Samples_for_P_analysis[[#This Row],[Column2]]</f>
        <v>8.6998375961058697E-3</v>
      </c>
      <c r="H237" s="58">
        <v>1.6935600000000002E-2</v>
      </c>
      <c r="I237" s="81">
        <f>(Samples_for_P_analysis[[#This Row],[Column43]]*50/1000)/Samples_for_P_analysis[[#This Row],[Column2]]</f>
        <v>8.2855185909980439E-4</v>
      </c>
      <c r="J237" s="71">
        <v>3.6134158111321999</v>
      </c>
      <c r="K237" s="71">
        <f>Samples_for_P_analysis[[#This Row],[Column5]]-$J$252</f>
        <v>3.6108997058422774</v>
      </c>
      <c r="L237">
        <f>(Samples_for_P_analysis[[#This Row],[Column11]]*45/1000)/Samples_for_P_analysis[[#This Row],[Column2]]</f>
        <v>0.15899264849599068</v>
      </c>
      <c r="M237" t="s">
        <v>3</v>
      </c>
      <c r="N237" s="88">
        <f>Samples_for_P_analysis[[#This Row],[Column32]]+Samples_for_P_analysis[[#This Row],[Column4]]+Samples_for_P_analysis[[#This Row],[Column42]]+Samples_for_P_analysis[[#This Row],[Column8]]</f>
        <v>0.17684288726626485</v>
      </c>
      <c r="O237">
        <f>Samples_for_P_analysis[[#This Row],[Column9]]*1000</f>
        <v>176.84288726626485</v>
      </c>
    </row>
    <row r="238" spans="1:15">
      <c r="A238" s="5" t="s">
        <v>259</v>
      </c>
      <c r="B238" s="10">
        <v>1.0029999999999999</v>
      </c>
      <c r="C238" s="51">
        <v>0.13743739999999999</v>
      </c>
      <c r="D238" s="68">
        <f>(Samples_for_P_analysis[[#This Row],[Column3]]*50/1000)/Samples_for_P_analysis[[#This Row],[Column2]]</f>
        <v>6.8513160518444667E-3</v>
      </c>
      <c r="E238" s="58">
        <v>0.115533821762004</v>
      </c>
      <c r="G238" s="68">
        <f>(Samples_for_P_analysis[[#This Row],[Column7]]*50/1000)/Samples_for_P_analysis[[#This Row],[Column2]]</f>
        <v>5.7594128495515456E-3</v>
      </c>
      <c r="H238" s="58">
        <v>1.8346900000000003E-2</v>
      </c>
      <c r="I238" s="81">
        <f>(Samples_for_P_analysis[[#This Row],[Column43]]*50/1000)/Samples_for_P_analysis[[#This Row],[Column2]]</f>
        <v>9.1460119641076799E-4</v>
      </c>
      <c r="J238" s="71">
        <v>2.6375012617615448</v>
      </c>
      <c r="K238" s="71">
        <f>Samples_for_P_analysis[[#This Row],[Column5]]-$J$252</f>
        <v>2.6349851564716222</v>
      </c>
      <c r="L238">
        <f>(Samples_for_P_analysis[[#This Row],[Column11]]*45/1000)/Samples_for_P_analysis[[#This Row],[Column2]]</f>
        <v>0.11821967302215655</v>
      </c>
      <c r="M238" t="s">
        <v>3</v>
      </c>
      <c r="N238" s="88">
        <f>Samples_for_P_analysis[[#This Row],[Column32]]+Samples_for_P_analysis[[#This Row],[Column4]]+Samples_for_P_analysis[[#This Row],[Column42]]+Samples_for_P_analysis[[#This Row],[Column8]]</f>
        <v>0.13174500311996334</v>
      </c>
      <c r="O238">
        <f>Samples_for_P_analysis[[#This Row],[Column9]]*1000</f>
        <v>131.74500311996334</v>
      </c>
    </row>
    <row r="239" spans="1:15">
      <c r="A239" s="5" t="s">
        <v>260</v>
      </c>
      <c r="B239" s="10">
        <v>1.044</v>
      </c>
      <c r="C239" s="51">
        <v>0.1010076</v>
      </c>
      <c r="D239" s="68">
        <f>(Samples_for_P_analysis[[#This Row],[Column3]]*50/1000)/Samples_for_P_analysis[[#This Row],[Column2]]</f>
        <v>4.8375287356321843E-3</v>
      </c>
      <c r="E239" s="58">
        <v>0.16993113359742101</v>
      </c>
      <c r="G239" s="68">
        <f>(Samples_for_P_analysis[[#This Row],[Column7]]*50/1000)/Samples_for_P_analysis[[#This Row],[Column2]]</f>
        <v>8.1384642527500481E-3</v>
      </c>
      <c r="H239" s="58">
        <v>1.4112999999999994E-3</v>
      </c>
      <c r="I239" s="81">
        <f>(Samples_for_P_analysis[[#This Row],[Column43]]*50/1000)/Samples_for_P_analysis[[#This Row],[Column2]]</f>
        <v>6.7590996168582351E-5</v>
      </c>
      <c r="J239" s="71">
        <v>1.7149469677967832</v>
      </c>
      <c r="K239" s="71">
        <f>Samples_for_P_analysis[[#This Row],[Column5]]-$J$252</f>
        <v>1.7124308625068609</v>
      </c>
      <c r="L239">
        <f>(Samples_for_P_analysis[[#This Row],[Column11]]*45/1000)/Samples_for_P_analysis[[#This Row],[Column2]]</f>
        <v>7.381167510805435E-2</v>
      </c>
      <c r="M239" t="s">
        <v>3</v>
      </c>
      <c r="N239" s="88">
        <f>Samples_for_P_analysis[[#This Row],[Column32]]+Samples_for_P_analysis[[#This Row],[Column4]]+Samples_for_P_analysis[[#This Row],[Column42]]+Samples_for_P_analysis[[#This Row],[Column8]]</f>
        <v>8.6855259092605164E-2</v>
      </c>
      <c r="O239">
        <f>Samples_for_P_analysis[[#This Row],[Column9]]*1000</f>
        <v>86.855259092605166</v>
      </c>
    </row>
    <row r="240" spans="1:15">
      <c r="A240" s="5" t="s">
        <v>261</v>
      </c>
      <c r="B240" s="10">
        <v>1.0820000000000001</v>
      </c>
      <c r="C240" s="51">
        <v>8.4677000000000002E-2</v>
      </c>
      <c r="D240" s="68">
        <f>(Samples_for_P_analysis[[#This Row],[Column3]]*50/1000)/Samples_for_P_analysis[[#This Row],[Column2]]</f>
        <v>3.9129852125693153E-3</v>
      </c>
      <c r="E240" s="58">
        <v>9.2870107463558296E-2</v>
      </c>
      <c r="G240" s="68">
        <f>(Samples_for_P_analysis[[#This Row],[Column7]]*50/1000)/Samples_for_P_analysis[[#This Row],[Column2]]</f>
        <v>4.2915946147670187E-3</v>
      </c>
      <c r="I240" s="81"/>
      <c r="J240" s="71">
        <v>2.6666205925255451</v>
      </c>
      <c r="K240" s="71">
        <f>Samples_for_P_analysis[[#This Row],[Column5]]-$J$252</f>
        <v>2.6641044872356225</v>
      </c>
      <c r="L240">
        <f>(Samples_for_P_analysis[[#This Row],[Column11]]*45/1000)/Samples_for_P_analysis[[#This Row],[Column2]]</f>
        <v>0.11079916998669409</v>
      </c>
      <c r="M240" t="s">
        <v>3</v>
      </c>
      <c r="N240" s="88">
        <f>Samples_for_P_analysis[[#This Row],[Column32]]+Samples_for_P_analysis[[#This Row],[Column4]]+Samples_for_P_analysis[[#This Row],[Column42]]+Samples_for_P_analysis[[#This Row],[Column8]]</f>
        <v>0.11900374981403042</v>
      </c>
      <c r="O240">
        <f>Samples_for_P_analysis[[#This Row],[Column9]]*1000</f>
        <v>119.00374981403041</v>
      </c>
    </row>
    <row r="241" spans="1:15">
      <c r="A241" s="5" t="s">
        <v>262</v>
      </c>
      <c r="B241" s="10">
        <v>1.026</v>
      </c>
      <c r="C241" s="51">
        <v>9.7238999999999992E-2</v>
      </c>
      <c r="D241" s="68">
        <f>(Samples_for_P_analysis[[#This Row],[Column3]]*50/1000)/Samples_for_P_analysis[[#This Row],[Column2]]</f>
        <v>4.7387426900584789E-3</v>
      </c>
      <c r="E241" s="58">
        <v>0.10196197829781201</v>
      </c>
      <c r="G241" s="68">
        <f>(Samples_for_P_analysis[[#This Row],[Column7]]*50/1000)/Samples_for_P_analysis[[#This Row],[Column2]]</f>
        <v>4.9689073244547754E-3</v>
      </c>
      <c r="I241" s="81"/>
      <c r="J241" s="71">
        <v>2.5581626187974034</v>
      </c>
      <c r="K241" s="71">
        <f>Samples_for_P_analysis[[#This Row],[Column5]]-$J$252</f>
        <v>2.5556465135074808</v>
      </c>
      <c r="L241">
        <f>(Samples_for_P_analysis[[#This Row],[Column11]]*45/1000)/Samples_for_P_analysis[[#This Row],[Column2]]</f>
        <v>0.1120897593643632</v>
      </c>
      <c r="M241" t="s">
        <v>3</v>
      </c>
      <c r="N241" s="88">
        <f>Samples_for_P_analysis[[#This Row],[Column32]]+Samples_for_P_analysis[[#This Row],[Column4]]+Samples_for_P_analysis[[#This Row],[Column42]]+Samples_for_P_analysis[[#This Row],[Column8]]</f>
        <v>0.12179740937887645</v>
      </c>
      <c r="O241">
        <f>Samples_for_P_analysis[[#This Row],[Column9]]*1000</f>
        <v>121.79740937887645</v>
      </c>
    </row>
    <row r="242" spans="1:15">
      <c r="A242" s="17">
        <v>10</v>
      </c>
      <c r="B242" s="10">
        <v>1.014</v>
      </c>
      <c r="C242" s="51">
        <v>0.16004899999999997</v>
      </c>
      <c r="D242" s="68">
        <f>(Samples_for_P_analysis[[#This Row],[Column3]]*50/1000)/Samples_for_P_analysis[[#This Row],[Column2]]</f>
        <v>7.8919625246548306E-3</v>
      </c>
      <c r="E242" s="58">
        <v>0.14970804242497801</v>
      </c>
      <c r="G242" s="68">
        <f>(Samples_for_P_analysis[[#This Row],[Column7]]*50/1000)/Samples_for_P_analysis[[#This Row],[Column2]]</f>
        <v>7.3820533740127222E-3</v>
      </c>
      <c r="H242" s="58">
        <v>1.2701699999999998E-2</v>
      </c>
      <c r="I242" s="81">
        <f>(Samples_for_P_analysis[[#This Row],[Column43]]*50/1000)/Samples_for_P_analysis[[#This Row],[Column2]]</f>
        <v>6.2631656804733717E-4</v>
      </c>
      <c r="J242" s="71">
        <v>2.9476938058795032</v>
      </c>
      <c r="K242" s="71">
        <f>Samples_for_P_analysis[[#This Row],[Column5]]-$J$252</f>
        <v>2.9451777005895807</v>
      </c>
      <c r="L242">
        <f>(Samples_for_P_analysis[[#This Row],[Column11]]*45/1000)/Samples_for_P_analysis[[#This Row],[Column2]]</f>
        <v>0.13070315239302871</v>
      </c>
      <c r="N242" s="88">
        <f>Samples_for_P_analysis[[#This Row],[Column32]]+Samples_for_P_analysis[[#This Row],[Column4]]+Samples_for_P_analysis[[#This Row],[Column42]]+Samples_for_P_analysis[[#This Row],[Column8]]</f>
        <v>0.14660348485974359</v>
      </c>
      <c r="O242">
        <f>Samples_for_P_analysis[[#This Row],[Column9]]*1000</f>
        <v>146.60348485974359</v>
      </c>
    </row>
    <row r="243" spans="1:15">
      <c r="A243" s="17">
        <v>14</v>
      </c>
      <c r="B243" s="10">
        <v>1.038</v>
      </c>
      <c r="C243" s="51">
        <v>7.3371199999999998E-2</v>
      </c>
      <c r="D243" s="68">
        <f>(Samples_for_P_analysis[[#This Row],[Column3]]*50/1000)/Samples_for_P_analysis[[#This Row],[Column2]]</f>
        <v>3.5342581888246627E-3</v>
      </c>
      <c r="E243" s="58">
        <v>0.123377896538595</v>
      </c>
      <c r="G243" s="68">
        <f>(Samples_for_P_analysis[[#This Row],[Column7]]*50/1000)/Samples_for_P_analysis[[#This Row],[Column2]]</f>
        <v>5.9430586001250002E-3</v>
      </c>
      <c r="H243" s="58">
        <v>1.4112999999999994E-3</v>
      </c>
      <c r="I243" s="81">
        <f>(Samples_for_P_analysis[[#This Row],[Column43]]*50/1000)/Samples_for_P_analysis[[#This Row],[Column2]]</f>
        <v>6.7981695568400741E-5</v>
      </c>
      <c r="J243" s="71">
        <v>4.4142237880335786</v>
      </c>
      <c r="K243" s="71">
        <f>Samples_for_P_analysis[[#This Row],[Column5]]-$J$252</f>
        <v>4.4117076827436561</v>
      </c>
      <c r="L243">
        <f>(Samples_for_P_analysis[[#This Row],[Column11]]*45/1000)/Samples_for_P_analysis[[#This Row],[Column2]]</f>
        <v>0.19125900358715273</v>
      </c>
      <c r="N243" s="88">
        <f>Samples_for_P_analysis[[#This Row],[Column32]]+Samples_for_P_analysis[[#This Row],[Column4]]+Samples_for_P_analysis[[#This Row],[Column42]]+Samples_for_P_analysis[[#This Row],[Column8]]</f>
        <v>0.2008043020716708</v>
      </c>
      <c r="O243">
        <f>Samples_for_P_analysis[[#This Row],[Column9]]*1000</f>
        <v>200.8043020716708</v>
      </c>
    </row>
    <row r="244" spans="1:15">
      <c r="A244" s="17">
        <v>18</v>
      </c>
      <c r="B244" s="10">
        <v>1.111</v>
      </c>
      <c r="C244" s="51">
        <v>0.10226380000000002</v>
      </c>
      <c r="D244" s="68">
        <f>(Samples_for_P_analysis[[#This Row],[Column3]]*50/1000)/Samples_for_P_analysis[[#This Row],[Column2]]</f>
        <v>4.6023312331233135E-3</v>
      </c>
      <c r="E244" s="58">
        <v>8.0282208908272798E-2</v>
      </c>
      <c r="G244" s="68">
        <f>(Samples_for_P_analysis[[#This Row],[Column7]]*50/1000)/Samples_for_P_analysis[[#This Row],[Column2]]</f>
        <v>3.6130607069429698E-3</v>
      </c>
      <c r="I244" s="81"/>
      <c r="J244" s="71">
        <v>2.4576105887200801</v>
      </c>
      <c r="K244" s="71">
        <f>Samples_for_P_analysis[[#This Row],[Column5]]-$J$252</f>
        <v>2.4550944834301576</v>
      </c>
      <c r="L244">
        <f>(Samples_for_P_analysis[[#This Row],[Column11]]*45/1000)/Samples_for_P_analysis[[#This Row],[Column2]]</f>
        <v>9.9441270705991985E-2</v>
      </c>
      <c r="N244" s="88">
        <f>Samples_for_P_analysis[[#This Row],[Column32]]+Samples_for_P_analysis[[#This Row],[Column4]]+Samples_for_P_analysis[[#This Row],[Column42]]+Samples_for_P_analysis[[#This Row],[Column8]]</f>
        <v>0.10765666264605828</v>
      </c>
      <c r="O244">
        <f>Samples_for_P_analysis[[#This Row],[Column9]]*1000</f>
        <v>107.65666264605828</v>
      </c>
    </row>
    <row r="245" spans="1:15">
      <c r="A245" s="17">
        <v>91</v>
      </c>
      <c r="B245" s="10">
        <v>1.0580000000000001</v>
      </c>
      <c r="C245" s="51">
        <v>0.53314039999999996</v>
      </c>
      <c r="D245" s="6">
        <f>(Samples_for_P_analysis[[#This Row],[Column3]]*50/1000)/Samples_for_P_analysis[[#This Row],[Column2]]</f>
        <v>2.5195671077504724E-2</v>
      </c>
      <c r="E245" s="58">
        <v>0.44539173289980899</v>
      </c>
      <c r="G245">
        <f>(Samples_for_P_analysis[[#This Row],[Column7]]*50/1000)/Samples_for_P_analysis[[#This Row],[Column2]]</f>
        <v>2.104875864365827E-2</v>
      </c>
      <c r="H245" s="58">
        <v>0.31754250000000001</v>
      </c>
      <c r="I245" s="87">
        <f>(Samples_for_P_analysis[[#This Row],[Column43]]*50/1000)/Samples_for_P_analysis[[#This Row],[Column2]]</f>
        <v>1.500673440453686E-2</v>
      </c>
      <c r="J245" s="71">
        <v>4.3937785966255749</v>
      </c>
      <c r="K245" s="71">
        <f>Samples_for_P_analysis[[#This Row],[Column5]]-$J$252</f>
        <v>4.3912624913356524</v>
      </c>
      <c r="L245">
        <f>(Samples_for_P_analysis[[#This Row],[Column11]]*45/1000)/Samples_for_P_analysis[[#This Row],[Column2]]</f>
        <v>0.18677392448970165</v>
      </c>
      <c r="N245" s="88">
        <f>Samples_for_P_analysis[[#This Row],[Column32]]+Samples_for_P_analysis[[#This Row],[Column4]]+Samples_for_P_analysis[[#This Row],[Column42]]+Samples_for_P_analysis[[#This Row],[Column8]]</f>
        <v>0.24802508861540151</v>
      </c>
      <c r="O245">
        <f>Samples_for_P_analysis[[#This Row],[Column9]]*1000</f>
        <v>248.0250886154015</v>
      </c>
    </row>
    <row r="246" spans="1:15">
      <c r="A246" s="17">
        <v>95</v>
      </c>
      <c r="B246" s="10">
        <v>1.002</v>
      </c>
      <c r="C246" s="51">
        <v>0.16758619999999999</v>
      </c>
      <c r="D246" s="6">
        <f>(Samples_for_P_analysis[[#This Row],[Column3]]*50/1000)/Samples_for_P_analysis[[#This Row],[Column2]]</f>
        <v>8.3625848303393226E-3</v>
      </c>
      <c r="E246" s="58">
        <v>9.8960671480700799E-2</v>
      </c>
      <c r="G246">
        <f>(Samples_for_P_analysis[[#This Row],[Column7]]*50/1000)/Samples_for_P_analysis[[#This Row],[Column2]]</f>
        <v>4.9381572595160071E-3</v>
      </c>
      <c r="H246" s="58">
        <v>5.6451999999999995E-3</v>
      </c>
      <c r="I246" s="87">
        <f>(Samples_for_P_analysis[[#This Row],[Column43]]*50/1000)/Samples_for_P_analysis[[#This Row],[Column2]]</f>
        <v>2.816966067864271E-4</v>
      </c>
      <c r="J246" s="71">
        <v>1.9567648156346333</v>
      </c>
      <c r="K246" s="71">
        <f>Samples_for_P_analysis[[#This Row],[Column5]]-$J$252</f>
        <v>1.954248710344711</v>
      </c>
      <c r="L246">
        <f>(Samples_for_P_analysis[[#This Row],[Column11]]*45/1000)/Samples_for_P_analysis[[#This Row],[Column2]]</f>
        <v>8.7765660644223545E-2</v>
      </c>
      <c r="N246" s="88">
        <f>Samples_for_P_analysis[[#This Row],[Column32]]+Samples_for_P_analysis[[#This Row],[Column4]]+Samples_for_P_analysis[[#This Row],[Column42]]+Samples_for_P_analysis[[#This Row],[Column8]]</f>
        <v>0.10134809934086531</v>
      </c>
      <c r="O246">
        <f>Samples_for_P_analysis[[#This Row],[Column9]]*1000</f>
        <v>101.3480993408653</v>
      </c>
    </row>
    <row r="247" spans="1:15">
      <c r="A247" s="17">
        <v>279</v>
      </c>
      <c r="B247" s="10">
        <v>1.022</v>
      </c>
      <c r="C247" s="51">
        <v>0.1901978</v>
      </c>
      <c r="D247" s="68">
        <f>(Samples_for_P_analysis[[#This Row],[Column3]]*50/1000)/Samples_for_P_analysis[[#This Row],[Column2]]</f>
        <v>9.3051761252446186E-3</v>
      </c>
      <c r="E247" s="58">
        <v>0.28319473610032903</v>
      </c>
      <c r="G247" s="68">
        <f>(Samples_for_P_analysis[[#This Row],[Column7]]*50/1000)/Samples_for_P_analysis[[#This Row],[Column2]]</f>
        <v>1.3854928380642319E-2</v>
      </c>
      <c r="H247" s="58">
        <v>6.3508499999999996E-2</v>
      </c>
      <c r="I247" s="81">
        <f>(Samples_for_P_analysis[[#This Row],[Column43]]*50/1000)/Samples_for_P_analysis[[#This Row],[Column2]]</f>
        <v>3.1070694716242657E-3</v>
      </c>
      <c r="J247" s="71">
        <v>3.05925752752719</v>
      </c>
      <c r="K247" s="71">
        <f>Samples_for_P_analysis[[#This Row],[Column5]]-$J$252</f>
        <v>3.0567414222372675</v>
      </c>
      <c r="L247">
        <f>(Samples_for_P_analysis[[#This Row],[Column11]]*45/1000)/Samples_for_P_analysis[[#This Row],[Column2]]</f>
        <v>0.13459233268168008</v>
      </c>
      <c r="N247" s="88">
        <f>Samples_for_P_analysis[[#This Row],[Column32]]+Samples_for_P_analysis[[#This Row],[Column4]]+Samples_for_P_analysis[[#This Row],[Column42]]+Samples_for_P_analysis[[#This Row],[Column8]]</f>
        <v>0.1608595066591913</v>
      </c>
      <c r="O247">
        <f>Samples_for_P_analysis[[#This Row],[Column9]]*1000</f>
        <v>160.85950665919131</v>
      </c>
    </row>
    <row r="248" spans="1:15">
      <c r="A248" s="17">
        <v>288</v>
      </c>
      <c r="B248" s="10">
        <v>1.1499999999999999</v>
      </c>
      <c r="C248" s="51">
        <v>0.14874319999999999</v>
      </c>
      <c r="D248" s="68">
        <f>(Samples_for_P_analysis[[#This Row],[Column3]]*50/1000)/Samples_for_P_analysis[[#This Row],[Column2]]</f>
        <v>6.4670956521739138E-3</v>
      </c>
      <c r="E248" s="58">
        <v>0.21976601931891401</v>
      </c>
      <c r="G248" s="68">
        <f>(Samples_for_P_analysis[[#This Row],[Column7]]*50/1000)/Samples_for_P_analysis[[#This Row],[Column2]]</f>
        <v>9.5550443182136537E-3</v>
      </c>
      <c r="H248" s="58">
        <v>1.1290400000000001E-2</v>
      </c>
      <c r="I248" s="81">
        <f>(Samples_for_P_analysis[[#This Row],[Column43]]*50/1000)/Samples_for_P_analysis[[#This Row],[Column2]]</f>
        <v>4.9088695652173915E-4</v>
      </c>
      <c r="J248" s="71">
        <v>1.7259810611179951</v>
      </c>
      <c r="K248" s="71">
        <f>Samples_for_P_analysis[[#This Row],[Column5]]-$J$252</f>
        <v>1.7234649558280728</v>
      </c>
      <c r="L248">
        <f>(Samples_for_P_analysis[[#This Row],[Column11]]*45/1000)/Samples_for_P_analysis[[#This Row],[Column2]]</f>
        <v>6.7439933054141976E-2</v>
      </c>
      <c r="N248" s="88">
        <f>Samples_for_P_analysis[[#This Row],[Column32]]+Samples_for_P_analysis[[#This Row],[Column4]]+Samples_for_P_analysis[[#This Row],[Column42]]+Samples_for_P_analysis[[#This Row],[Column8]]</f>
        <v>8.3952959981051289E-2</v>
      </c>
      <c r="O248">
        <f>Samples_for_P_analysis[[#This Row],[Column9]]*1000</f>
        <v>83.952959981051293</v>
      </c>
    </row>
    <row r="249" spans="1:15">
      <c r="A249" s="17">
        <v>290</v>
      </c>
      <c r="B249" s="10">
        <v>1.016</v>
      </c>
      <c r="C249" s="51">
        <v>0.13241259999999999</v>
      </c>
      <c r="D249" s="68">
        <f>(Samples_for_P_analysis[[#This Row],[Column3]]*50/1000)/Samples_for_P_analysis[[#This Row],[Column2]]</f>
        <v>6.5163681102362201E-3</v>
      </c>
      <c r="E249" s="58">
        <v>0.245321102455824</v>
      </c>
      <c r="G249" s="68">
        <f>(Samples_for_P_analysis[[#This Row],[Column7]]*50/1000)/Samples_for_P_analysis[[#This Row],[Column2]]</f>
        <v>1.2072888900385039E-2</v>
      </c>
      <c r="H249" s="58">
        <v>8.4678000000000003E-2</v>
      </c>
      <c r="I249" s="81">
        <f>(Samples_for_P_analysis[[#This Row],[Column43]]*50/1000)/Samples_for_P_analysis[[#This Row],[Column2]]</f>
        <v>4.1672244094488192E-3</v>
      </c>
      <c r="J249" s="71">
        <v>3.354248271401735</v>
      </c>
      <c r="K249" s="71">
        <f>Samples_for_P_analysis[[#This Row],[Column5]]-$J$252</f>
        <v>3.3517321661118125</v>
      </c>
      <c r="L249">
        <f>(Samples_for_P_analysis[[#This Row],[Column11]]*45/1000)/Samples_for_P_analysis[[#This Row],[Column2]]</f>
        <v>0.14845270420770823</v>
      </c>
      <c r="N249" s="88">
        <f>Samples_for_P_analysis[[#This Row],[Column32]]+Samples_for_P_analysis[[#This Row],[Column4]]+Samples_for_P_analysis[[#This Row],[Column42]]+Samples_for_P_analysis[[#This Row],[Column8]]</f>
        <v>0.17120918562777832</v>
      </c>
      <c r="O249">
        <f>Samples_for_P_analysis[[#This Row],[Column9]]*1000</f>
        <v>171.20918562777831</v>
      </c>
    </row>
    <row r="250" spans="1:15">
      <c r="A250" s="31" t="s">
        <v>293</v>
      </c>
      <c r="B250" s="32">
        <v>1.044</v>
      </c>
      <c r="C250" s="54">
        <v>0.1738672</v>
      </c>
      <c r="D250" s="45">
        <f>(Samples_for_P_analysis[[#This Row],[Column3]]*50/1000)/Samples_for_P_analysis[[#This Row],[Column2]]</f>
        <v>8.3269731800766286E-3</v>
      </c>
      <c r="E250" s="60">
        <v>0.18212875232850401</v>
      </c>
      <c r="F250" s="60"/>
      <c r="G250" s="33">
        <f>(Samples_for_P_analysis[[#This Row],[Column7]]*50/1000)/Samples_for_P_analysis[[#This Row],[Column2]]</f>
        <v>8.7226413950432964E-3</v>
      </c>
      <c r="H250" s="60">
        <v>7.0564999999999985E-3</v>
      </c>
      <c r="I250" s="86">
        <f>(Samples_for_P_analysis[[#This Row],[Column43]]*50/1000)/Samples_for_P_analysis[[#This Row],[Column2]]</f>
        <v>3.3795498084291184E-4</v>
      </c>
      <c r="J250" s="73">
        <v>3.7717907703346119</v>
      </c>
      <c r="K250" s="71">
        <f>Samples_for_P_analysis[[#This Row],[Column5]]-$J$252</f>
        <v>3.7692746650446893</v>
      </c>
      <c r="L250">
        <f>(Samples_for_P_analysis[[#This Row],[Column11]]*45/1000)/Samples_for_P_analysis[[#This Row],[Column2]]</f>
        <v>0.16246873556227109</v>
      </c>
      <c r="N250" s="88">
        <f>Samples_for_P_analysis[[#This Row],[Column32]]+Samples_for_P_analysis[[#This Row],[Column4]]+Samples_for_P_analysis[[#This Row],[Column42]]+Samples_for_P_analysis[[#This Row],[Column8]]</f>
        <v>0.17985630511823392</v>
      </c>
      <c r="O250">
        <f>Samples_for_P_analysis[[#This Row],[Column9]]*1000</f>
        <v>179.85630511823391</v>
      </c>
    </row>
    <row r="251" spans="1:15">
      <c r="A251" s="31" t="s">
        <v>294</v>
      </c>
      <c r="B251" s="32">
        <v>1.0840000000000001</v>
      </c>
      <c r="C251" s="54">
        <v>0.18894160000000002</v>
      </c>
      <c r="D251" s="45">
        <f>(Samples_for_P_analysis[[#This Row],[Column3]]*50/1000)/Samples_for_P_analysis[[#This Row],[Column2]]</f>
        <v>8.7150184501845022E-3</v>
      </c>
      <c r="E251" s="60">
        <v>0.19328745716135501</v>
      </c>
      <c r="F251" s="60"/>
      <c r="G251" s="33">
        <f>(Samples_for_P_analysis[[#This Row],[Column7]]*50/1000)/Samples_for_P_analysis[[#This Row],[Column2]]</f>
        <v>8.9154731162986618E-3</v>
      </c>
      <c r="H251" s="60">
        <v>5.6451999999999995E-3</v>
      </c>
      <c r="I251" s="86">
        <f>(Samples_for_P_analysis[[#This Row],[Column43]]*50/1000)/Samples_for_P_analysis[[#This Row],[Column2]]</f>
        <v>2.603874538745387E-4</v>
      </c>
      <c r="J251" s="73">
        <v>4.0621232362048447</v>
      </c>
      <c r="K251" s="71">
        <f>Samples_for_P_analysis[[#This Row],[Column5]]-$J$252</f>
        <v>4.0596071309149222</v>
      </c>
      <c r="L251">
        <f>(Samples_for_P_analysis[[#This Row],[Column11]]*45/1000)/Samples_for_P_analysis[[#This Row],[Column2]]</f>
        <v>0.16852612628336852</v>
      </c>
      <c r="N251" s="88">
        <f>Samples_for_P_analysis[[#This Row],[Column32]]+Samples_for_P_analysis[[#This Row],[Column4]]+Samples_for_P_analysis[[#This Row],[Column42]]+Samples_for_P_analysis[[#This Row],[Column8]]</f>
        <v>0.18641700530372624</v>
      </c>
      <c r="O251">
        <f>Samples_for_P_analysis[[#This Row],[Column9]]*1000</f>
        <v>186.41700530372623</v>
      </c>
    </row>
    <row r="252" spans="1:15">
      <c r="A252" s="66" t="s">
        <v>295</v>
      </c>
      <c r="B252" s="20"/>
      <c r="C252" s="20">
        <v>-0.17095199999999999</v>
      </c>
      <c r="D252" s="44"/>
      <c r="E252" s="44">
        <v>-6.6457508093188799E-3</v>
      </c>
      <c r="F252" s="44"/>
      <c r="G252" s="44"/>
      <c r="H252" s="44">
        <v>0</v>
      </c>
      <c r="I252" s="84"/>
      <c r="J252" s="44">
        <v>2.516105289922329E-3</v>
      </c>
      <c r="K252" s="71">
        <f>Samples_for_P_analysis[[#This Row],[Column5]]-$J$252</f>
        <v>0</v>
      </c>
      <c r="L252" s="22"/>
      <c r="N252" s="88">
        <f>Samples_for_P_analysis[[#This Row],[Column32]]+Samples_for_P_analysis[[#This Row],[Column4]]+Samples_for_P_analysis[[#This Row],[Column42]]+Samples_for_P_analysis[[#This Row],[Column8]]</f>
        <v>0</v>
      </c>
      <c r="O252">
        <f>Samples_for_P_analysis[[#This Row],[Column9]]*1000</f>
        <v>0</v>
      </c>
    </row>
    <row r="253" spans="1:15">
      <c r="A253" s="5">
        <v>46</v>
      </c>
      <c r="B253" s="10">
        <v>1.0669999999999999</v>
      </c>
      <c r="C253" s="51">
        <v>0.12758160000000002</v>
      </c>
      <c r="D253" s="68">
        <f>(Samples_for_P_analysis[[#This Row],[Column3]]*50/1000)/Samples_for_P_analysis[[#This Row],[Column2]]</f>
        <v>5.9785192127460186E-3</v>
      </c>
      <c r="E253" s="58">
        <v>0.15440239411328099</v>
      </c>
      <c r="F253" s="58">
        <f>Samples_for_P_analysis[[#This Row],[Column7]]-$E$275</f>
        <v>0.14209692075452549</v>
      </c>
      <c r="G253" s="68">
        <f>(Samples_for_P_analysis[[#This Row],[Column12]]*50/1000)/Samples_for_P_analysis[[#This Row],[Column2]]</f>
        <v>6.6587123127706416E-3</v>
      </c>
      <c r="H253" s="58">
        <v>4.1447999999999997E-3</v>
      </c>
      <c r="I253" s="81">
        <f>(Samples_for_P_analysis[[#This Row],[Column43]]*50/1000)/Samples_for_P_analysis[[#This Row],[Column2]]</f>
        <v>1.9422680412371134E-4</v>
      </c>
      <c r="J253" s="71">
        <v>1.1956642916043985</v>
      </c>
      <c r="K253" s="71">
        <f>Samples_for_P_analysis[[#This Row],[Column5]]-$J$275</f>
        <v>1.1842642236654719</v>
      </c>
      <c r="L253">
        <f>(Samples_for_P_analysis[[#This Row],[Column11]]*45/1000)/Samples_for_P_analysis[[#This Row],[Column2]]</f>
        <v>4.9945538954963675E-2</v>
      </c>
      <c r="N253" s="88">
        <f>Samples_for_P_analysis[[#This Row],[Column32]]+Samples_for_P_analysis[[#This Row],[Column4]]+Samples_for_P_analysis[[#This Row],[Column42]]+Samples_for_P_analysis[[#This Row],[Column8]]</f>
        <v>6.277699728460405E-2</v>
      </c>
      <c r="O253">
        <f>Samples_for_P_analysis[[#This Row],[Column9]]*1000</f>
        <v>62.77699728460405</v>
      </c>
    </row>
    <row r="254" spans="1:15">
      <c r="A254" s="5">
        <v>48</v>
      </c>
      <c r="B254" s="10">
        <v>1.034</v>
      </c>
      <c r="C254" s="51">
        <v>0.11795279999999998</v>
      </c>
      <c r="D254" s="68">
        <f>(Samples_for_P_analysis[[#This Row],[Column3]]*50/1000)/Samples_for_P_analysis[[#This Row],[Column2]]</f>
        <v>5.7037137330754346E-3</v>
      </c>
      <c r="E254" s="58">
        <v>0.113928727273732</v>
      </c>
      <c r="F254" s="58">
        <f>Samples_for_P_analysis[[#This Row],[Column7]]-$E$275</f>
        <v>0.10162325391497651</v>
      </c>
      <c r="G254" s="68">
        <f>(Samples_for_P_analysis[[#This Row],[Column12]]*50/1000)/Samples_for_P_analysis[[#This Row],[Column2]]</f>
        <v>4.914083845018207E-3</v>
      </c>
      <c r="H254" s="58">
        <v>4.1447999999999997E-3</v>
      </c>
      <c r="I254" s="81">
        <f>(Samples_for_P_analysis[[#This Row],[Column43]]*50/1000)/Samples_for_P_analysis[[#This Row],[Column2]]</f>
        <v>2.0042553191489359E-4</v>
      </c>
      <c r="J254" s="71">
        <v>1.2750379119530468</v>
      </c>
      <c r="K254" s="71">
        <f>Samples_for_P_analysis[[#This Row],[Column5]]-$J$275</f>
        <v>1.2636378440141203</v>
      </c>
      <c r="L254">
        <f>(Samples_for_P_analysis[[#This Row],[Column11]]*45/1000)/Samples_for_P_analysis[[#This Row],[Column2]]</f>
        <v>5.4993910039299231E-2</v>
      </c>
      <c r="N254" s="88">
        <f>Samples_for_P_analysis[[#This Row],[Column32]]+Samples_for_P_analysis[[#This Row],[Column4]]+Samples_for_P_analysis[[#This Row],[Column42]]+Samples_for_P_analysis[[#This Row],[Column8]]</f>
        <v>6.5812133149307769E-2</v>
      </c>
      <c r="O254">
        <f>Samples_for_P_analysis[[#This Row],[Column9]]*1000</f>
        <v>65.812133149307769</v>
      </c>
    </row>
    <row r="255" spans="1:15">
      <c r="A255" s="5">
        <v>50</v>
      </c>
      <c r="B255" s="10">
        <v>1.073</v>
      </c>
      <c r="C255" s="51">
        <v>2.4072E-3</v>
      </c>
      <c r="D255" s="68">
        <f>(Samples_for_P_analysis[[#This Row],[Column3]]*50/1000)/Samples_for_P_analysis[[#This Row],[Column2]]</f>
        <v>1.1217148182665424E-4</v>
      </c>
      <c r="E255" s="58">
        <v>5.8728868194179197E-2</v>
      </c>
      <c r="F255" s="58">
        <f>Samples_for_P_analysis[[#This Row],[Column7]]-$E$275</f>
        <v>4.6423394835423695E-2</v>
      </c>
      <c r="G255" s="68">
        <f>(Samples_for_P_analysis[[#This Row],[Column12]]*50/1000)/Samples_for_P_analysis[[#This Row],[Column2]]</f>
        <v>2.1632523222471435E-3</v>
      </c>
      <c r="I255" s="81"/>
      <c r="J255" s="71">
        <v>0.88961998416439803</v>
      </c>
      <c r="K255" s="71">
        <f>Samples_for_P_analysis[[#This Row],[Column5]]-$J$275</f>
        <v>0.87821991622547146</v>
      </c>
      <c r="L255">
        <f>(Samples_for_P_analysis[[#This Row],[Column11]]*45/1000)/Samples_for_P_analysis[[#This Row],[Column2]]</f>
        <v>3.6831217362671219E-2</v>
      </c>
      <c r="N255" s="88">
        <f>Samples_for_P_analysis[[#This Row],[Column32]]+Samples_for_P_analysis[[#This Row],[Column4]]+Samples_for_P_analysis[[#This Row],[Column42]]+Samples_for_P_analysis[[#This Row],[Column8]]</f>
        <v>3.9106641166745018E-2</v>
      </c>
      <c r="O255">
        <f>Samples_for_P_analysis[[#This Row],[Column9]]*1000</f>
        <v>39.106641166745021</v>
      </c>
    </row>
    <row r="256" spans="1:15">
      <c r="A256" s="5">
        <v>51</v>
      </c>
      <c r="B256" s="10">
        <v>1.042</v>
      </c>
      <c r="C256" s="51">
        <v>0.12998880000000002</v>
      </c>
      <c r="D256" s="68">
        <f>(Samples_for_P_analysis[[#This Row],[Column3]]*50/1000)/Samples_for_P_analysis[[#This Row],[Column2]]</f>
        <v>6.2374664107485607E-3</v>
      </c>
      <c r="E256" s="58">
        <v>8.6840009334672799E-2</v>
      </c>
      <c r="F256" s="58">
        <f>Samples_for_P_analysis[[#This Row],[Column7]]-$E$275</f>
        <v>7.4534535975917304E-2</v>
      </c>
      <c r="G256" s="68">
        <f>(Samples_for_P_analysis[[#This Row],[Column12]]*50/1000)/Samples_for_P_analysis[[#This Row],[Column2]]</f>
        <v>3.5765132426063963E-3</v>
      </c>
      <c r="H256" s="58">
        <v>4.1447999999999997E-3</v>
      </c>
      <c r="I256" s="81">
        <f>(Samples_for_P_analysis[[#This Row],[Column43]]*50/1000)/Samples_for_P_analysis[[#This Row],[Column2]]</f>
        <v>1.9888675623800381E-4</v>
      </c>
      <c r="J256" s="71">
        <v>1.3687166001808599</v>
      </c>
      <c r="K256" s="71">
        <f>Samples_for_P_analysis[[#This Row],[Column5]]-$J$275</f>
        <v>1.3573165322419334</v>
      </c>
      <c r="L256">
        <f>(Samples_for_P_analysis[[#This Row],[Column11]]*45/1000)/Samples_for_P_analysis[[#This Row],[Column2]]</f>
        <v>5.861731665152304E-2</v>
      </c>
      <c r="N256" s="88">
        <f>Samples_for_P_analysis[[#This Row],[Column32]]+Samples_for_P_analysis[[#This Row],[Column4]]+Samples_for_P_analysis[[#This Row],[Column42]]+Samples_for_P_analysis[[#This Row],[Column8]]</f>
        <v>6.8630183061115999E-2</v>
      </c>
      <c r="O256">
        <f>Samples_for_P_analysis[[#This Row],[Column9]]*1000</f>
        <v>68.630183061116</v>
      </c>
    </row>
    <row r="257" spans="1:15">
      <c r="A257" s="5">
        <v>52</v>
      </c>
      <c r="B257" s="10">
        <v>1.0269999999999999</v>
      </c>
      <c r="C257" s="51">
        <v>9.0270000000000003E-2</v>
      </c>
      <c r="D257" s="68">
        <f>(Samples_for_P_analysis[[#This Row],[Column3]]*50/1000)/Samples_for_P_analysis[[#This Row],[Column2]]</f>
        <v>4.3948393378773131E-3</v>
      </c>
      <c r="E257" s="58">
        <v>5.5370262946458797E-2</v>
      </c>
      <c r="F257" s="58">
        <f>Samples_for_P_analysis[[#This Row],[Column7]]-$E$275</f>
        <v>4.3064789587703295E-2</v>
      </c>
      <c r="G257" s="68">
        <f>(Samples_for_P_analysis[[#This Row],[Column12]]*50/1000)/Samples_for_P_analysis[[#This Row],[Column2]]</f>
        <v>2.0966304570449513E-3</v>
      </c>
      <c r="H257" s="58">
        <v>1.3815999999999993E-3</v>
      </c>
      <c r="I257" s="81">
        <f>(Samples_for_P_analysis[[#This Row],[Column43]]*50/1000)/Samples_for_P_analysis[[#This Row],[Column2]]</f>
        <v>6.7263875365141155E-5</v>
      </c>
      <c r="J257" s="71">
        <v>1.2384560158103117</v>
      </c>
      <c r="K257" s="71">
        <f>Samples_for_P_analysis[[#This Row],[Column5]]-$J$275</f>
        <v>1.2270559478713852</v>
      </c>
      <c r="L257">
        <f>(Samples_for_P_analysis[[#This Row],[Column11]]*45/1000)/Samples_for_P_analysis[[#This Row],[Column2]]</f>
        <v>5.3765839974890296E-2</v>
      </c>
      <c r="N257" s="88">
        <f>Samples_for_P_analysis[[#This Row],[Column32]]+Samples_for_P_analysis[[#This Row],[Column4]]+Samples_for_P_analysis[[#This Row],[Column42]]+Samples_for_P_analysis[[#This Row],[Column8]]</f>
        <v>6.0324573645177702E-2</v>
      </c>
      <c r="O257">
        <f>Samples_for_P_analysis[[#This Row],[Column9]]*1000</f>
        <v>60.324573645177701</v>
      </c>
    </row>
    <row r="258" spans="1:15">
      <c r="A258" s="5">
        <v>53</v>
      </c>
      <c r="B258" s="10">
        <v>1.026</v>
      </c>
      <c r="C258" s="51">
        <v>0.15406080000000003</v>
      </c>
      <c r="D258" s="68">
        <f>(Samples_for_P_analysis[[#This Row],[Column3]]*50/1000)/Samples_for_P_analysis[[#This Row],[Column2]]</f>
        <v>7.5078362573099428E-3</v>
      </c>
      <c r="E258" s="58">
        <v>9.5459146860737198E-2</v>
      </c>
      <c r="F258" s="58">
        <f>Samples_for_P_analysis[[#This Row],[Column7]]-$E$275</f>
        <v>8.3153673501981704E-2</v>
      </c>
      <c r="G258" s="68">
        <f>(Samples_for_P_analysis[[#This Row],[Column12]]*50/1000)/Samples_for_P_analysis[[#This Row],[Column2]]</f>
        <v>4.0523232700770814E-3</v>
      </c>
      <c r="H258" s="58">
        <v>4.1447999999999997E-3</v>
      </c>
      <c r="I258" s="81">
        <f>(Samples_for_P_analysis[[#This Row],[Column43]]*50/1000)/Samples_for_P_analysis[[#This Row],[Column2]]</f>
        <v>2.0198830409356723E-4</v>
      </c>
      <c r="J258" s="71">
        <v>1.3670191696141265</v>
      </c>
      <c r="K258" s="71">
        <f>Samples_for_P_analysis[[#This Row],[Column5]]-$J$275</f>
        <v>1.3556191016751999</v>
      </c>
      <c r="L258">
        <f>(Samples_for_P_analysis[[#This Row],[Column11]]*45/1000)/Samples_for_P_analysis[[#This Row],[Column2]]</f>
        <v>5.9456978143649128E-2</v>
      </c>
      <c r="N258" s="88">
        <f>Samples_for_P_analysis[[#This Row],[Column32]]+Samples_for_P_analysis[[#This Row],[Column4]]+Samples_for_P_analysis[[#This Row],[Column42]]+Samples_for_P_analysis[[#This Row],[Column8]]</f>
        <v>7.1219125975129721E-2</v>
      </c>
      <c r="O258">
        <f>Samples_for_P_analysis[[#This Row],[Column9]]*1000</f>
        <v>71.219125975129728</v>
      </c>
    </row>
    <row r="259" spans="1:15">
      <c r="A259" s="5">
        <v>300</v>
      </c>
      <c r="B259" s="10">
        <v>1.0820000000000001</v>
      </c>
      <c r="C259" s="51">
        <v>0.11795279999999998</v>
      </c>
      <c r="D259" s="68">
        <f>(Samples_for_P_analysis[[#This Row],[Column3]]*50/1000)/Samples_for_P_analysis[[#This Row],[Column2]]</f>
        <v>5.4506839186691299E-3</v>
      </c>
      <c r="E259" s="58">
        <v>9.1561845517637894E-2</v>
      </c>
      <c r="F259" s="58">
        <f>Samples_for_P_analysis[[#This Row],[Column7]]-$E$275</f>
        <v>7.9256372158882399E-2</v>
      </c>
      <c r="G259" s="68">
        <f>(Samples_for_P_analysis[[#This Row],[Column12]]*50/1000)/Samples_for_P_analysis[[#This Row],[Column2]]</f>
        <v>3.6624940923697968E-3</v>
      </c>
      <c r="H259" s="58">
        <v>2.7631999999999995E-3</v>
      </c>
      <c r="I259" s="81">
        <f>(Samples_for_P_analysis[[#This Row],[Column43]]*50/1000)/Samples_for_P_analysis[[#This Row],[Column2]]</f>
        <v>1.2768946395563767E-4</v>
      </c>
      <c r="J259" s="71">
        <v>2.1217958576168514</v>
      </c>
      <c r="K259" s="71">
        <f>Samples_for_P_analysis[[#This Row],[Column5]]-$J$275</f>
        <v>2.1103957896779248</v>
      </c>
      <c r="L259">
        <f>(Samples_for_P_analysis[[#This Row],[Column11]]*45/1000)/Samples_for_P_analysis[[#This Row],[Column2]]</f>
        <v>8.7770619718582812E-2</v>
      </c>
      <c r="N259" s="88">
        <f>Samples_for_P_analysis[[#This Row],[Column32]]+Samples_for_P_analysis[[#This Row],[Column4]]+Samples_for_P_analysis[[#This Row],[Column42]]+Samples_for_P_analysis[[#This Row],[Column8]]</f>
        <v>9.7011487193577384E-2</v>
      </c>
      <c r="O259">
        <f>Samples_for_P_analysis[[#This Row],[Column9]]*1000</f>
        <v>97.011487193577381</v>
      </c>
    </row>
    <row r="260" spans="1:15">
      <c r="A260" s="5">
        <v>302</v>
      </c>
      <c r="B260" s="10">
        <v>1.097</v>
      </c>
      <c r="C260" s="51">
        <v>0.14202480000000001</v>
      </c>
      <c r="D260" s="68">
        <f>(Samples_for_P_analysis[[#This Row],[Column3]]*50/1000)/Samples_for_P_analysis[[#This Row],[Column2]]</f>
        <v>6.4733272561531456E-3</v>
      </c>
      <c r="E260" s="58">
        <v>0.126588085515139</v>
      </c>
      <c r="F260" s="58">
        <f>Samples_for_P_analysis[[#This Row],[Column7]]-$E$275</f>
        <v>0.11428261215638351</v>
      </c>
      <c r="G260" s="68">
        <f>(Samples_for_P_analysis[[#This Row],[Column12]]*50/1000)/Samples_for_P_analysis[[#This Row],[Column2]]</f>
        <v>5.2088701985589566E-3</v>
      </c>
      <c r="I260" s="81"/>
      <c r="J260" s="71">
        <v>2.2999727479407004</v>
      </c>
      <c r="K260" s="71">
        <f>Samples_for_P_analysis[[#This Row],[Column5]]-$J$275</f>
        <v>2.2885726800017738</v>
      </c>
      <c r="L260">
        <f>(Samples_for_P_analysis[[#This Row],[Column11]]*45/1000)/Samples_for_P_analysis[[#This Row],[Column2]]</f>
        <v>9.3879462716572312E-2</v>
      </c>
      <c r="N260" s="88">
        <f>Samples_for_P_analysis[[#This Row],[Column32]]+Samples_for_P_analysis[[#This Row],[Column4]]+Samples_for_P_analysis[[#This Row],[Column42]]+Samples_for_P_analysis[[#This Row],[Column8]]</f>
        <v>0.10556166017128442</v>
      </c>
      <c r="O260">
        <f>Samples_for_P_analysis[[#This Row],[Column9]]*1000</f>
        <v>105.56166017128442</v>
      </c>
    </row>
    <row r="261" spans="1:15">
      <c r="A261" s="5">
        <v>303</v>
      </c>
      <c r="B261" s="10">
        <v>1.0169999999999999</v>
      </c>
      <c r="C261" s="51">
        <v>9.6287999999999985E-2</v>
      </c>
      <c r="D261" s="68">
        <f>(Samples_for_P_analysis[[#This Row],[Column3]]*50/1000)/Samples_for_P_analysis[[#This Row],[Column2]]</f>
        <v>4.7339233038348081E-3</v>
      </c>
      <c r="E261" s="58">
        <v>9.45961337283443E-2</v>
      </c>
      <c r="F261" s="58">
        <f>Samples_for_P_analysis[[#This Row],[Column7]]-$E$275</f>
        <v>8.2290660369588806E-2</v>
      </c>
      <c r="G261" s="68">
        <f>(Samples_for_P_analysis[[#This Row],[Column12]]*50/1000)/Samples_for_P_analysis[[#This Row],[Column2]]</f>
        <v>4.0457551804124296E-3</v>
      </c>
      <c r="I261" s="81"/>
      <c r="J261" s="71">
        <v>1.5244228987991033</v>
      </c>
      <c r="K261" s="71">
        <f>Samples_for_P_analysis[[#This Row],[Column5]]-$J$275</f>
        <v>1.5130228308601767</v>
      </c>
      <c r="L261">
        <f>(Samples_for_P_analysis[[#This Row],[Column11]]*45/1000)/Samples_for_P_analysis[[#This Row],[Column2]]</f>
        <v>6.6947912869919329E-2</v>
      </c>
      <c r="N261" s="88">
        <f>Samples_for_P_analysis[[#This Row],[Column32]]+Samples_for_P_analysis[[#This Row],[Column4]]+Samples_for_P_analysis[[#This Row],[Column42]]+Samples_for_P_analysis[[#This Row],[Column8]]</f>
        <v>7.5727591354166568E-2</v>
      </c>
      <c r="O261">
        <f>Samples_for_P_analysis[[#This Row],[Column9]]*1000</f>
        <v>75.727591354166563</v>
      </c>
    </row>
    <row r="262" spans="1:15">
      <c r="A262" s="5">
        <v>304</v>
      </c>
      <c r="B262" s="10">
        <v>1.028</v>
      </c>
      <c r="C262" s="51">
        <v>0.343026</v>
      </c>
      <c r="D262" s="68">
        <f>(Samples_for_P_analysis[[#This Row],[Column3]]*50/1000)/Samples_for_P_analysis[[#This Row],[Column2]]</f>
        <v>1.6684143968871593E-2</v>
      </c>
      <c r="E262" s="58">
        <v>0.123399884134325</v>
      </c>
      <c r="F262" s="58">
        <f>Samples_for_P_analysis[[#This Row],[Column7]]-$E$275</f>
        <v>0.1110944107755695</v>
      </c>
      <c r="G262" s="68">
        <f>(Samples_for_P_analysis[[#This Row],[Column12]]*50/1000)/Samples_for_P_analysis[[#This Row],[Column2]]</f>
        <v>5.4034246486171934E-3</v>
      </c>
      <c r="H262" s="58">
        <v>1.3815999999999993E-3</v>
      </c>
      <c r="I262" s="81">
        <f>(Samples_for_P_analysis[[#This Row],[Column43]]*50/1000)/Samples_for_P_analysis[[#This Row],[Column2]]</f>
        <v>6.7198443579766495E-5</v>
      </c>
      <c r="J262" s="71">
        <v>2.0515694495021166</v>
      </c>
      <c r="K262" s="71">
        <f>Samples_for_P_analysis[[#This Row],[Column5]]-$J$275</f>
        <v>2.0401693815631901</v>
      </c>
      <c r="L262">
        <f>(Samples_for_P_analysis[[#This Row],[Column11]]*45/1000)/Samples_for_P_analysis[[#This Row],[Column2]]</f>
        <v>8.9307025457532635E-2</v>
      </c>
      <c r="N262" s="88">
        <f>Samples_for_P_analysis[[#This Row],[Column32]]+Samples_for_P_analysis[[#This Row],[Column4]]+Samples_for_P_analysis[[#This Row],[Column42]]+Samples_for_P_analysis[[#This Row],[Column8]]</f>
        <v>0.11146179251860119</v>
      </c>
      <c r="O262">
        <f>Samples_for_P_analysis[[#This Row],[Column9]]*1000</f>
        <v>111.4617925186012</v>
      </c>
    </row>
    <row r="263" spans="1:15">
      <c r="A263" s="5">
        <v>305</v>
      </c>
      <c r="B263" s="10">
        <v>1.012</v>
      </c>
      <c r="C263" s="51">
        <v>0.13600680000000001</v>
      </c>
      <c r="D263" s="68">
        <f>(Samples_for_P_analysis[[#This Row],[Column3]]*50/1000)/Samples_for_P_analysis[[#This Row],[Column2]]</f>
        <v>6.7197035573122533E-3</v>
      </c>
      <c r="E263" s="58">
        <v>0.16480802379238799</v>
      </c>
      <c r="F263" s="58">
        <f>Samples_for_P_analysis[[#This Row],[Column7]]-$E$275</f>
        <v>0.15250255043363248</v>
      </c>
      <c r="G263" s="68">
        <f>(Samples_for_P_analysis[[#This Row],[Column12]]*50/1000)/Samples_for_P_analysis[[#This Row],[Column2]]</f>
        <v>7.5347109898039758E-3</v>
      </c>
      <c r="H263" s="58">
        <v>6.9080000000000001E-3</v>
      </c>
      <c r="I263" s="81">
        <f>(Samples_for_P_analysis[[#This Row],[Column43]]*50/1000)/Samples_for_P_analysis[[#This Row],[Column2]]</f>
        <v>3.4130434782608695E-4</v>
      </c>
      <c r="J263" s="71">
        <v>2.2246320508061816</v>
      </c>
      <c r="K263" s="71">
        <f>Samples_for_P_analysis[[#This Row],[Column5]]-$J$275</f>
        <v>2.2132319828672551</v>
      </c>
      <c r="L263">
        <f>(Samples_for_P_analysis[[#This Row],[Column11]]*45/1000)/Samples_for_P_analysis[[#This Row],[Column2]]</f>
        <v>9.8414465641330523E-2</v>
      </c>
      <c r="N263" s="88">
        <f>Samples_for_P_analysis[[#This Row],[Column32]]+Samples_for_P_analysis[[#This Row],[Column4]]+Samples_for_P_analysis[[#This Row],[Column42]]+Samples_for_P_analysis[[#This Row],[Column8]]</f>
        <v>0.11301018453627285</v>
      </c>
      <c r="O263">
        <f>Samples_for_P_analysis[[#This Row],[Column9]]*1000</f>
        <v>113.01018453627285</v>
      </c>
    </row>
    <row r="264" spans="1:15">
      <c r="A264" s="5">
        <v>306</v>
      </c>
      <c r="B264" s="10">
        <v>1.034</v>
      </c>
      <c r="C264" s="51">
        <v>0.1456356</v>
      </c>
      <c r="D264" s="68">
        <f>(Samples_for_P_analysis[[#This Row],[Column3]]*50/1000)/Samples_for_P_analysis[[#This Row],[Column2]]</f>
        <v>7.0423404255319155E-3</v>
      </c>
      <c r="E264" s="58">
        <v>3.2865958717053202E-2</v>
      </c>
      <c r="F264" s="58">
        <f>Samples_for_P_analysis[[#This Row],[Column7]]-$E$275</f>
        <v>2.05604853582977E-2</v>
      </c>
      <c r="G264" s="68">
        <f>(Samples_for_P_analysis[[#This Row],[Column12]]*50/1000)/Samples_for_P_analysis[[#This Row],[Column2]]</f>
        <v>9.942207620066586E-4</v>
      </c>
      <c r="I264" s="81"/>
      <c r="J264" s="71">
        <v>1.2691002300455916</v>
      </c>
      <c r="K264" s="71">
        <f>Samples_for_P_analysis[[#This Row],[Column5]]-$J$275</f>
        <v>1.257700162106665</v>
      </c>
      <c r="L264">
        <f>(Samples_for_P_analysis[[#This Row],[Column11]]*45/1000)/Samples_for_P_analysis[[#This Row],[Column2]]</f>
        <v>5.4735500285106306E-2</v>
      </c>
      <c r="N264" s="88">
        <f>Samples_for_P_analysis[[#This Row],[Column32]]+Samples_for_P_analysis[[#This Row],[Column4]]+Samples_for_P_analysis[[#This Row],[Column42]]+Samples_for_P_analysis[[#This Row],[Column8]]</f>
        <v>6.2772061472644886E-2</v>
      </c>
      <c r="O264">
        <f>Samples_for_P_analysis[[#This Row],[Column9]]*1000</f>
        <v>62.772061472644886</v>
      </c>
    </row>
    <row r="265" spans="1:15">
      <c r="A265" s="5">
        <v>307</v>
      </c>
      <c r="B265" s="10">
        <v>1.002</v>
      </c>
      <c r="C265" s="51">
        <v>9.2677200000000001E-2</v>
      </c>
      <c r="D265" s="68">
        <f>(Samples_for_P_analysis[[#This Row],[Column3]]*50/1000)/Samples_for_P_analysis[[#This Row],[Column2]]</f>
        <v>4.6246107784431141E-3</v>
      </c>
      <c r="E265" s="58">
        <v>5.7063307817650101E-2</v>
      </c>
      <c r="F265" s="58">
        <f>Samples_for_P_analysis[[#This Row],[Column7]]-$E$275</f>
        <v>4.4757834458894599E-2</v>
      </c>
      <c r="G265" s="68">
        <f>(Samples_for_P_analysis[[#This Row],[Column12]]*50/1000)/Samples_for_P_analysis[[#This Row],[Column2]]</f>
        <v>2.2334248731983334E-3</v>
      </c>
      <c r="H265" s="58">
        <v>2.7631999999999995E-3</v>
      </c>
      <c r="I265" s="81">
        <f>(Samples_for_P_analysis[[#This Row],[Column43]]*50/1000)/Samples_for_P_analysis[[#This Row],[Column2]]</f>
        <v>1.3788423153692612E-4</v>
      </c>
      <c r="J265" s="71">
        <v>1.5621544600236696</v>
      </c>
      <c r="K265" s="71">
        <f>Samples_for_P_analysis[[#This Row],[Column5]]-$J$275</f>
        <v>1.5507543920847431</v>
      </c>
      <c r="L265">
        <f>(Samples_for_P_analysis[[#This Row],[Column11]]*45/1000)/Samples_for_P_analysis[[#This Row],[Column2]]</f>
        <v>6.9644658327159117E-2</v>
      </c>
      <c r="N265" s="88">
        <f>Samples_for_P_analysis[[#This Row],[Column32]]+Samples_for_P_analysis[[#This Row],[Column4]]+Samples_for_P_analysis[[#This Row],[Column42]]+Samples_for_P_analysis[[#This Row],[Column8]]</f>
        <v>7.6640578210337484E-2</v>
      </c>
      <c r="O265">
        <f>Samples_for_P_analysis[[#This Row],[Column9]]*1000</f>
        <v>76.64057821033748</v>
      </c>
    </row>
    <row r="266" spans="1:15">
      <c r="A266" s="17">
        <v>315</v>
      </c>
      <c r="B266" s="10">
        <v>1.0369999999999999</v>
      </c>
      <c r="C266" s="51">
        <v>0.29006759999999998</v>
      </c>
      <c r="D266" s="68">
        <f>(Samples_for_P_analysis[[#This Row],[Column3]]*50/1000)/Samples_for_P_analysis[[#This Row],[Column2]]</f>
        <v>1.3985901639344264E-2</v>
      </c>
      <c r="E266" s="58">
        <v>0.218924993782251</v>
      </c>
      <c r="F266" s="58">
        <f>Samples_for_P_analysis[[#This Row],[Column7]]-$E$275</f>
        <v>0.20661952042349549</v>
      </c>
      <c r="G266" s="68">
        <f>(Samples_for_P_analysis[[#This Row],[Column12]]*50/1000)/Samples_for_P_analysis[[#This Row],[Column2]]</f>
        <v>9.9623683907182018E-3</v>
      </c>
      <c r="H266" s="58">
        <v>8.2895999999999977E-3</v>
      </c>
      <c r="I266" s="81">
        <f>(Samples_for_P_analysis[[#This Row],[Column43]]*50/1000)/Samples_for_P_analysis[[#This Row],[Column2]]</f>
        <v>3.9969141755062676E-4</v>
      </c>
      <c r="J266" s="71">
        <v>3.0659853916886832</v>
      </c>
      <c r="K266" s="71">
        <f>Samples_for_P_analysis[[#This Row],[Column5]]-$J$275</f>
        <v>3.0545853237497567</v>
      </c>
      <c r="L266">
        <f>(Samples_for_P_analysis[[#This Row],[Column11]]*45/1000)/Samples_for_P_analysis[[#This Row],[Column2]]</f>
        <v>0.13255191858123344</v>
      </c>
      <c r="N266" s="88">
        <f>Samples_for_P_analysis[[#This Row],[Column32]]+Samples_for_P_analysis[[#This Row],[Column4]]+Samples_for_P_analysis[[#This Row],[Column42]]+Samples_for_P_analysis[[#This Row],[Column8]]</f>
        <v>0.15689988002884653</v>
      </c>
      <c r="O266">
        <f>Samples_for_P_analysis[[#This Row],[Column9]]*1000</f>
        <v>156.89988002884652</v>
      </c>
    </row>
    <row r="267" spans="1:15">
      <c r="A267" s="17">
        <v>321</v>
      </c>
      <c r="B267" s="10">
        <v>1.03</v>
      </c>
      <c r="C267" s="51">
        <v>0.17692920000000001</v>
      </c>
      <c r="D267" s="68">
        <f>(Samples_for_P_analysis[[#This Row],[Column3]]*50/1000)/Samples_for_P_analysis[[#This Row],[Column2]]</f>
        <v>8.5887961165048553E-3</v>
      </c>
      <c r="E267" s="58">
        <v>0.24358957929210501</v>
      </c>
      <c r="F267" s="58">
        <f>Samples_for_P_analysis[[#This Row],[Column7]]-$E$275</f>
        <v>0.2312841059333495</v>
      </c>
      <c r="G267" s="68">
        <f>(Samples_for_P_analysis[[#This Row],[Column12]]*50/1000)/Samples_for_P_analysis[[#This Row],[Column2]]</f>
        <v>1.1227383783172307E-2</v>
      </c>
      <c r="H267" s="58">
        <v>9.6711999999999979E-3</v>
      </c>
      <c r="I267" s="81">
        <f>(Samples_for_P_analysis[[#This Row],[Column43]]*50/1000)/Samples_for_P_analysis[[#This Row],[Column2]]</f>
        <v>4.6947572815533969E-4</v>
      </c>
      <c r="J267" s="71">
        <v>1.6800021222641697</v>
      </c>
      <c r="K267" s="71">
        <f>Samples_for_P_analysis[[#This Row],[Column5]]-$J$275</f>
        <v>1.6686020543252431</v>
      </c>
      <c r="L267">
        <f>(Samples_for_P_analysis[[#This Row],[Column11]]*45/1000)/Samples_for_P_analysis[[#This Row],[Column2]]</f>
        <v>7.2900089752073738E-2</v>
      </c>
      <c r="N267" s="88">
        <f>Samples_for_P_analysis[[#This Row],[Column32]]+Samples_for_P_analysis[[#This Row],[Column4]]+Samples_for_P_analysis[[#This Row],[Column42]]+Samples_for_P_analysis[[#This Row],[Column8]]</f>
        <v>9.3185745379906232E-2</v>
      </c>
      <c r="O267">
        <f>Samples_for_P_analysis[[#This Row],[Column9]]*1000</f>
        <v>93.185745379906237</v>
      </c>
    </row>
    <row r="268" spans="1:15">
      <c r="A268" s="17">
        <v>324</v>
      </c>
      <c r="B268" s="10">
        <v>1.036</v>
      </c>
      <c r="C268" s="51">
        <v>0.60300359999999997</v>
      </c>
      <c r="D268" s="68">
        <f>(Samples_for_P_analysis[[#This Row],[Column3]]*50/1000)/Samples_for_P_analysis[[#This Row],[Column2]]</f>
        <v>2.9102490347490344E-2</v>
      </c>
      <c r="E268" s="58">
        <v>0.51101514644801305</v>
      </c>
      <c r="F268" s="58">
        <f>Samples_for_P_analysis[[#This Row],[Column7]]-$E$275</f>
        <v>0.49870967308925757</v>
      </c>
      <c r="G268" s="68">
        <f>(Samples_for_P_analysis[[#This Row],[Column12]]*50/1000)/Samples_for_P_analysis[[#This Row],[Column2]]</f>
        <v>2.406899966646996E-2</v>
      </c>
      <c r="H268" s="58">
        <v>9.6711999999999979E-3</v>
      </c>
      <c r="I268" s="81">
        <f>(Samples_for_P_analysis[[#This Row],[Column43]]*50/1000)/Samples_for_P_analysis[[#This Row],[Column2]]</f>
        <v>4.6675675675675663E-4</v>
      </c>
      <c r="J268" s="71">
        <v>3.2990167461660196</v>
      </c>
      <c r="K268" s="71">
        <f>Samples_for_P_analysis[[#This Row],[Column5]]-$J$275</f>
        <v>3.287616678227093</v>
      </c>
      <c r="L268">
        <f>(Samples_for_P_analysis[[#This Row],[Column11]]*45/1000)/Samples_for_P_analysis[[#This Row],[Column2]]</f>
        <v>0.14280188274152431</v>
      </c>
      <c r="N268" s="88">
        <f>Samples_for_P_analysis[[#This Row],[Column32]]+Samples_for_P_analysis[[#This Row],[Column4]]+Samples_for_P_analysis[[#This Row],[Column42]]+Samples_for_P_analysis[[#This Row],[Column8]]</f>
        <v>0.19644012951224138</v>
      </c>
      <c r="O268">
        <f>Samples_for_P_analysis[[#This Row],[Column9]]*1000</f>
        <v>196.44012951224138</v>
      </c>
    </row>
    <row r="269" spans="1:15">
      <c r="A269" s="17">
        <v>361</v>
      </c>
      <c r="B269" s="10">
        <v>1.008</v>
      </c>
      <c r="C269" s="51">
        <v>0.61744680000000007</v>
      </c>
      <c r="D269" s="68">
        <f>(Samples_for_P_analysis[[#This Row],[Column3]]*50/1000)/Samples_for_P_analysis[[#This Row],[Column2]]</f>
        <v>3.0627321428571434E-2</v>
      </c>
      <c r="E269" s="58">
        <v>0.85335352520796404</v>
      </c>
      <c r="F269" s="58">
        <f>Samples_for_P_analysis[[#This Row],[Column7]]-$E$275</f>
        <v>0.8410480518492085</v>
      </c>
      <c r="G269" s="68">
        <f>(Samples_for_P_analysis[[#This Row],[Column12]]*50/1000)/Samples_for_P_analysis[[#This Row],[Column2]]</f>
        <v>4.1718653365536137E-2</v>
      </c>
      <c r="H269" s="58">
        <v>1.6454856</v>
      </c>
      <c r="I269" s="81">
        <f>(Samples_for_P_analysis[[#This Row],[Column43]]*50/1000)/Samples_for_P_analysis[[#This Row],[Column2]]</f>
        <v>8.1621309523809527E-2</v>
      </c>
      <c r="J269" s="71">
        <v>3.784889919714578</v>
      </c>
      <c r="K269" s="71">
        <f>Samples_for_P_analysis[[#This Row],[Column5]]-$J$275</f>
        <v>3.7734898517756514</v>
      </c>
      <c r="L269">
        <f>(Samples_for_P_analysis[[#This Row],[Column11]]*45/1000)/Samples_for_P_analysis[[#This Row],[Column2]]</f>
        <v>0.16845936838284159</v>
      </c>
      <c r="N269" s="88">
        <f>Samples_for_P_analysis[[#This Row],[Column32]]+Samples_for_P_analysis[[#This Row],[Column4]]+Samples_for_P_analysis[[#This Row],[Column42]]+Samples_for_P_analysis[[#This Row],[Column8]]</f>
        <v>0.32242665270075865</v>
      </c>
      <c r="O269">
        <f>Samples_for_P_analysis[[#This Row],[Column9]]*1000</f>
        <v>322.42665270075867</v>
      </c>
    </row>
    <row r="270" spans="1:15">
      <c r="A270" s="18">
        <v>363</v>
      </c>
      <c r="B270" s="10">
        <v>1.0229999999999999</v>
      </c>
      <c r="C270" s="51">
        <v>1.1927676</v>
      </c>
      <c r="D270" s="68">
        <f>(Samples_for_P_analysis[[#This Row],[Column3]]*50/1000)/Samples_for_P_analysis[[#This Row],[Column2]]</f>
        <v>5.8297536656891503E-2</v>
      </c>
      <c r="E270" s="58">
        <v>0.68151107969290703</v>
      </c>
      <c r="F270" s="58">
        <f>Samples_for_P_analysis[[#This Row],[Column7]]-$E$275</f>
        <v>0.66920560633415149</v>
      </c>
      <c r="G270" s="68">
        <f>(Samples_for_P_analysis[[#This Row],[Column12]]*50/1000)/Samples_for_P_analysis[[#This Row],[Column2]]</f>
        <v>3.2707996399518643E-2</v>
      </c>
      <c r="H270" s="58">
        <v>3.4144239999999999</v>
      </c>
      <c r="I270" s="81">
        <f>(Samples_for_P_analysis[[#This Row],[Column43]]*50/1000)/Samples_for_P_analysis[[#This Row],[Column2]]</f>
        <v>0.16688289345063539</v>
      </c>
      <c r="J270" s="71">
        <v>6.6272632508185678</v>
      </c>
      <c r="K270" s="71">
        <f>Samples_for_P_analysis[[#This Row],[Column5]]-$J$275</f>
        <v>6.6158631828796413</v>
      </c>
      <c r="L270">
        <f>(Samples_for_P_analysis[[#This Row],[Column11]]*45/1000)/Samples_for_P_analysis[[#This Row],[Column2]]</f>
        <v>0.29102037461347402</v>
      </c>
      <c r="N270" s="88">
        <f>Samples_for_P_analysis[[#This Row],[Column32]]+Samples_for_P_analysis[[#This Row],[Column4]]+Samples_for_P_analysis[[#This Row],[Column42]]+Samples_for_P_analysis[[#This Row],[Column8]]</f>
        <v>0.54890880112051965</v>
      </c>
      <c r="O270">
        <f>Samples_for_P_analysis[[#This Row],[Column9]]*1000</f>
        <v>548.90880112051968</v>
      </c>
    </row>
    <row r="271" spans="1:15">
      <c r="A271" s="18">
        <v>369</v>
      </c>
      <c r="B271" s="10">
        <v>1.012</v>
      </c>
      <c r="C271" s="51">
        <v>1.6284708000000001</v>
      </c>
      <c r="D271" s="68">
        <f>(Samples_for_P_analysis[[#This Row],[Column3]]*50/1000)/Samples_for_P_analysis[[#This Row],[Column2]]</f>
        <v>8.0458043478260868E-2</v>
      </c>
      <c r="E271" s="58">
        <v>0.58272104681053405</v>
      </c>
      <c r="F271" s="58">
        <f>Samples_for_P_analysis[[#This Row],[Column7]]-$E$275</f>
        <v>0.57041557345177851</v>
      </c>
      <c r="G271" s="68">
        <f>(Samples_for_P_analysis[[#This Row],[Column12]]*50/1000)/Samples_for_P_analysis[[#This Row],[Column2]]</f>
        <v>2.8182587621135301E-2</v>
      </c>
      <c r="H271" s="58">
        <v>8.8993759999999984</v>
      </c>
      <c r="I271" s="81">
        <f>(Samples_for_P_analysis[[#This Row],[Column43]]*50/1000)/Samples_for_P_analysis[[#This Row],[Column2]]</f>
        <v>0.43969249011857703</v>
      </c>
      <c r="J271" s="71">
        <v>7.2610552747532928</v>
      </c>
      <c r="K271" s="71">
        <f>Samples_for_P_analysis[[#This Row],[Column5]]-$J$275</f>
        <v>7.2496552068143663</v>
      </c>
      <c r="L271">
        <f>(Samples_for_P_analysis[[#This Row],[Column11]]*45/1000)/Samples_for_P_analysis[[#This Row],[Column2]]</f>
        <v>0.32236609121210125</v>
      </c>
      <c r="N271" s="88">
        <f>Samples_for_P_analysis[[#This Row],[Column32]]+Samples_for_P_analysis[[#This Row],[Column4]]+Samples_for_P_analysis[[#This Row],[Column42]]+Samples_for_P_analysis[[#This Row],[Column8]]</f>
        <v>0.87069921243007442</v>
      </c>
      <c r="O271">
        <f>Samples_for_P_analysis[[#This Row],[Column9]]*1000</f>
        <v>870.69921243007445</v>
      </c>
    </row>
    <row r="272" spans="1:15">
      <c r="A272" s="18">
        <v>383</v>
      </c>
      <c r="B272" s="10">
        <v>1.0529999999999999</v>
      </c>
      <c r="C272" s="51">
        <v>6.3088152000000015</v>
      </c>
      <c r="D272" s="68">
        <f>(Samples_for_P_analysis[[#This Row],[Column3]]*50/1000)/Samples_for_P_analysis[[#This Row],[Column2]]</f>
        <v>0.29956387464387468</v>
      </c>
      <c r="E272" s="58">
        <v>1.52518620446104</v>
      </c>
      <c r="F272" s="58">
        <f>Samples_for_P_analysis[[#This Row],[Column7]]-$E$275</f>
        <v>1.5128807311022845</v>
      </c>
      <c r="G272" s="68">
        <f>(Samples_for_P_analysis[[#This Row],[Column12]]*50/1000)/Samples_for_P_analysis[[#This Row],[Column2]]</f>
        <v>7.18366918851987E-2</v>
      </c>
      <c r="H272" s="58">
        <v>29.310511999999999</v>
      </c>
      <c r="I272" s="81">
        <f>(Samples_for_P_analysis[[#This Row],[Column43]]*50/1000)/Samples_for_P_analysis[[#This Row],[Column2]]</f>
        <v>1.3917622032288699</v>
      </c>
      <c r="J272" s="71">
        <v>4.4312353127343505</v>
      </c>
      <c r="K272" s="71">
        <f>Samples_for_P_analysis[[#This Row],[Column5]]-$J$275</f>
        <v>4.4198352447954239</v>
      </c>
      <c r="L272">
        <f>(Samples_for_P_analysis[[#This Row],[Column11]]*45/1000)/Samples_for_P_analysis[[#This Row],[Column2]]</f>
        <v>0.18888184806818051</v>
      </c>
      <c r="N272" s="88">
        <f>Samples_for_P_analysis[[#This Row],[Column32]]+Samples_for_P_analysis[[#This Row],[Column4]]+Samples_for_P_analysis[[#This Row],[Column42]]+Samples_for_P_analysis[[#This Row],[Column8]]</f>
        <v>1.9520446178261237</v>
      </c>
      <c r="O272">
        <f>Samples_for_P_analysis[[#This Row],[Column9]]*1000</f>
        <v>1952.0446178261236</v>
      </c>
    </row>
    <row r="273" spans="1:15">
      <c r="A273" s="31" t="s">
        <v>290</v>
      </c>
      <c r="B273" s="32">
        <v>1.018</v>
      </c>
      <c r="C273" s="54">
        <v>0.16489319999999999</v>
      </c>
      <c r="D273" s="45">
        <f>(Samples_for_P_analysis[[#This Row],[Column3]]*50/1000)/Samples_for_P_analysis[[#This Row],[Column2]]</f>
        <v>8.0988801571709231E-3</v>
      </c>
      <c r="E273" s="60">
        <v>0.18528008837443899</v>
      </c>
      <c r="F273" s="58">
        <f>Samples_for_P_analysis[[#This Row],[Column7]]-$E$275</f>
        <v>0.17297461501568348</v>
      </c>
      <c r="G273" s="68">
        <f>(Samples_for_P_analysis[[#This Row],[Column12]]*50/1000)/Samples_for_P_analysis[[#This Row],[Column2]]</f>
        <v>8.4958062384913307E-3</v>
      </c>
      <c r="H273" s="60">
        <v>1.6579199999999999E-2</v>
      </c>
      <c r="I273" s="86">
        <f>(Samples_for_P_analysis[[#This Row],[Column43]]*50/1000)/Samples_for_P_analysis[[#This Row],[Column2]]</f>
        <v>8.1430255402750479E-4</v>
      </c>
      <c r="J273" s="73">
        <v>3.3163600837844296</v>
      </c>
      <c r="K273" s="71">
        <f>Samples_for_P_analysis[[#This Row],[Column5]]-$J$275</f>
        <v>3.304960015845503</v>
      </c>
      <c r="L273">
        <f>(Samples_for_P_analysis[[#This Row],[Column11]]*45/1000)/Samples_for_P_analysis[[#This Row],[Column2]]</f>
        <v>0.14609351739985035</v>
      </c>
      <c r="N273" s="88">
        <f>Samples_for_P_analysis[[#This Row],[Column32]]+Samples_for_P_analysis[[#This Row],[Column4]]+Samples_for_P_analysis[[#This Row],[Column42]]+Samples_for_P_analysis[[#This Row],[Column8]]</f>
        <v>0.16350250634954011</v>
      </c>
      <c r="O273">
        <f>Samples_for_P_analysis[[#This Row],[Column9]]*1000</f>
        <v>163.50250634954011</v>
      </c>
    </row>
    <row r="274" spans="1:15">
      <c r="A274" s="31" t="s">
        <v>291</v>
      </c>
      <c r="B274" s="32">
        <v>1.008</v>
      </c>
      <c r="C274" s="54">
        <v>0.17211480000000001</v>
      </c>
      <c r="D274" s="45">
        <f>(Samples_for_P_analysis[[#This Row],[Column3]]*50/1000)/Samples_for_P_analysis[[#This Row],[Column2]]</f>
        <v>8.5374404761904762E-3</v>
      </c>
      <c r="E274" s="60">
        <v>0.22534020240390401</v>
      </c>
      <c r="F274" s="58">
        <f>Samples_for_P_analysis[[#This Row],[Column7]]-$E$275</f>
        <v>0.2130347290451485</v>
      </c>
      <c r="G274" s="68">
        <f>(Samples_for_P_analysis[[#This Row],[Column12]]*50/1000)/Samples_for_P_analysis[[#This Row],[Column2]]</f>
        <v>1.0567198861366494E-2</v>
      </c>
      <c r="H274" s="60">
        <v>1.9342399999999996E-2</v>
      </c>
      <c r="I274" s="86">
        <f>(Samples_for_P_analysis[[#This Row],[Column43]]*50/1000)/Samples_for_P_analysis[[#This Row],[Column2]]</f>
        <v>9.594444444444443E-4</v>
      </c>
      <c r="J274" s="73">
        <v>3.1528217215162804</v>
      </c>
      <c r="K274" s="71">
        <f>Samples_for_P_analysis[[#This Row],[Column5]]-$J$275</f>
        <v>3.1414216535773538</v>
      </c>
      <c r="L274">
        <f>(Samples_for_P_analysis[[#This Row],[Column11]]*45/1000)/Samples_for_P_analysis[[#This Row],[Column2]]</f>
        <v>0.14024203810613187</v>
      </c>
      <c r="N274" s="88">
        <f>Samples_for_P_analysis[[#This Row],[Column32]]+Samples_for_P_analysis[[#This Row],[Column4]]+Samples_for_P_analysis[[#This Row],[Column42]]+Samples_for_P_analysis[[#This Row],[Column8]]</f>
        <v>0.16030612188813329</v>
      </c>
      <c r="O274">
        <f>Samples_for_P_analysis[[#This Row],[Column9]]*1000</f>
        <v>160.30612188813328</v>
      </c>
    </row>
    <row r="275" spans="1:15">
      <c r="A275" s="66" t="s">
        <v>292</v>
      </c>
      <c r="B275" s="20"/>
      <c r="C275" s="20">
        <v>0</v>
      </c>
      <c r="D275" s="44"/>
      <c r="E275" s="44">
        <v>1.23054733587555E-2</v>
      </c>
      <c r="F275" s="58">
        <f>Samples_for_P_analysis[[#This Row],[Column7]]-$E$275</f>
        <v>0</v>
      </c>
      <c r="G275" s="44"/>
      <c r="H275" s="44">
        <v>0</v>
      </c>
      <c r="I275" s="84"/>
      <c r="J275" s="44">
        <v>1.1400067938926508E-2</v>
      </c>
      <c r="K275" s="71">
        <f>Samples_for_P_analysis[[#This Row],[Column5]]-$J$275</f>
        <v>0</v>
      </c>
      <c r="L275" s="22"/>
      <c r="N275" s="88">
        <f>Samples_for_P_analysis[[#This Row],[Column32]]+Samples_for_P_analysis[[#This Row],[Column4]]+Samples_for_P_analysis[[#This Row],[Column42]]+Samples_for_P_analysis[[#This Row],[Column8]]</f>
        <v>0</v>
      </c>
      <c r="O275">
        <f>Samples_for_P_analysis[[#This Row],[Column9]]*1000</f>
        <v>0</v>
      </c>
    </row>
    <row r="276" spans="1:15">
      <c r="A276" s="5">
        <v>68</v>
      </c>
      <c r="B276" s="10">
        <v>1.0109999999999999</v>
      </c>
      <c r="C276" s="51">
        <v>0.81335520000000006</v>
      </c>
      <c r="D276" s="68">
        <f>(Samples_for_P_analysis[[#This Row],[Column3]]*50/1000)/Samples_for_P_analysis[[#This Row],[Column2]]</f>
        <v>4.0225281899109802E-2</v>
      </c>
      <c r="E276" s="58">
        <v>0.82173521871715505</v>
      </c>
      <c r="F276" s="58">
        <f>Samples_for_P_analysis[[#This Row],[Column7]]-$E$287</f>
        <v>0.81288629959224901</v>
      </c>
      <c r="G276" s="68">
        <f>(Samples_for_P_analysis[[#This Row],[Column12]]*50/1000)/Samples_for_P_analysis[[#This Row],[Column2]]</f>
        <v>4.0202091967964843E-2</v>
      </c>
      <c r="H276" s="63">
        <v>3.3208375000000001</v>
      </c>
      <c r="I276" s="81">
        <f>(Samples_for_P_analysis[[#This Row],[Column43]]*50/1000)/Samples_for_P_analysis[[#This Row],[Column2]]</f>
        <v>0.16423528684470823</v>
      </c>
      <c r="J276" s="71">
        <v>5.6794109627659948</v>
      </c>
      <c r="K276" s="71">
        <f>Samples_for_P_analysis[[#This Row],[Column5]]-$J$287</f>
        <v>5.6726232264215577</v>
      </c>
      <c r="L276">
        <f>(Samples_for_P_analysis[[#This Row],[Column11]]*45/1000)/Samples_for_P_analysis[[#This Row],[Column2]]</f>
        <v>0.25249064806030674</v>
      </c>
      <c r="N276" s="88">
        <f>Samples_for_P_analysis[[#This Row],[Column32]]+Samples_for_P_analysis[[#This Row],[Column4]]+Samples_for_P_analysis[[#This Row],[Column42]]+Samples_for_P_analysis[[#This Row],[Column8]]</f>
        <v>0.49715330877208963</v>
      </c>
      <c r="O276">
        <f>Samples_for_P_analysis[[#This Row],[Column9]]*1000</f>
        <v>497.15330877208964</v>
      </c>
    </row>
    <row r="277" spans="1:15">
      <c r="A277" s="5">
        <v>91</v>
      </c>
      <c r="B277" s="10">
        <v>1.0269999999999999</v>
      </c>
      <c r="C277" s="51">
        <v>0.46332040000000002</v>
      </c>
      <c r="D277" s="68">
        <f>(Samples_for_P_analysis[[#This Row],[Column3]]*50/1000)/Samples_for_P_analysis[[#This Row],[Column2]]</f>
        <v>2.2556981499513146E-2</v>
      </c>
      <c r="E277" s="58">
        <v>0.44672330752406297</v>
      </c>
      <c r="F277" s="58">
        <f>Samples_for_P_analysis[[#This Row],[Column7]]-$E$287</f>
        <v>0.43787438839915693</v>
      </c>
      <c r="G277" s="68">
        <f>(Samples_for_P_analysis[[#This Row],[Column12]]*50/1000)/Samples_for_P_analysis[[#This Row],[Column2]]</f>
        <v>2.1318129912325075E-2</v>
      </c>
      <c r="H277" s="63">
        <v>0.77546250000000017</v>
      </c>
      <c r="I277" s="81">
        <f>(Samples_for_P_analysis[[#This Row],[Column43]]*50/1000)/Samples_for_P_analysis[[#This Row],[Column2]]</f>
        <v>3.7753773125608577E-2</v>
      </c>
      <c r="J277" s="71">
        <v>4.0746506550591368</v>
      </c>
      <c r="K277" s="71">
        <f>Samples_for_P_analysis[[#This Row],[Column5]]-$J$287</f>
        <v>4.0678629187146997</v>
      </c>
      <c r="L277">
        <f>(Samples_for_P_analysis[[#This Row],[Column11]]*45/1000)/Samples_for_P_analysis[[#This Row],[Column2]]</f>
        <v>0.1782413158151524</v>
      </c>
      <c r="N277" s="88">
        <f>Samples_for_P_analysis[[#This Row],[Column32]]+Samples_for_P_analysis[[#This Row],[Column4]]+Samples_for_P_analysis[[#This Row],[Column42]]+Samples_for_P_analysis[[#This Row],[Column8]]</f>
        <v>0.25987020035259922</v>
      </c>
      <c r="O277">
        <f>Samples_for_P_analysis[[#This Row],[Column9]]*1000</f>
        <v>259.87020035259923</v>
      </c>
    </row>
    <row r="278" spans="1:15">
      <c r="A278" s="5">
        <v>95</v>
      </c>
      <c r="B278" s="10">
        <v>1.026</v>
      </c>
      <c r="C278" s="51">
        <v>0.16161130000000001</v>
      </c>
      <c r="D278" s="68">
        <f>(Samples_for_P_analysis[[#This Row],[Column3]]*50/1000)/Samples_for_P_analysis[[#This Row],[Column2]]</f>
        <v>7.8757943469785572E-3</v>
      </c>
      <c r="E278" s="58">
        <v>0.12236773753135</v>
      </c>
      <c r="F278" s="58">
        <f>Samples_for_P_analysis[[#This Row],[Column7]]-$E$287</f>
        <v>0.11351881840644396</v>
      </c>
      <c r="G278" s="68">
        <f>(Samples_for_P_analysis[[#This Row],[Column12]]*50/1000)/Samples_for_P_analysis[[#This Row],[Column2]]</f>
        <v>5.5321061601580875E-3</v>
      </c>
      <c r="H278" s="63">
        <v>1.83625E-2</v>
      </c>
      <c r="I278" s="81">
        <f>(Samples_for_P_analysis[[#This Row],[Column43]]*50/1000)/Samples_for_P_analysis[[#This Row],[Column2]]</f>
        <v>8.9485867446393761E-4</v>
      </c>
      <c r="J278" s="71">
        <v>2.5448618613339735</v>
      </c>
      <c r="K278" s="71">
        <f>Samples_for_P_analysis[[#This Row],[Column5]]-$J$287</f>
        <v>2.5380741249895364</v>
      </c>
      <c r="L278">
        <f>(Samples_for_P_analysis[[#This Row],[Column11]]*45/1000)/Samples_for_P_analysis[[#This Row],[Column2]]</f>
        <v>0.1113190405697165</v>
      </c>
      <c r="N278" s="88">
        <f>Samples_for_P_analysis[[#This Row],[Column32]]+Samples_for_P_analysis[[#This Row],[Column4]]+Samples_for_P_analysis[[#This Row],[Column42]]+Samples_for_P_analysis[[#This Row],[Column8]]</f>
        <v>0.1256217997513171</v>
      </c>
      <c r="O278">
        <f>Samples_for_P_analysis[[#This Row],[Column9]]*1000</f>
        <v>125.6217997513171</v>
      </c>
    </row>
    <row r="279" spans="1:15">
      <c r="A279" s="5">
        <v>294</v>
      </c>
      <c r="B279" s="10">
        <v>1.0369999999999999</v>
      </c>
      <c r="C279" s="51">
        <v>0.33271040000000002</v>
      </c>
      <c r="D279" s="68">
        <f>(Samples_for_P_analysis[[#This Row],[Column3]]*50/1000)/Samples_for_P_analysis[[#This Row],[Column2]]</f>
        <v>1.6041967213114756E-2</v>
      </c>
      <c r="E279" s="58">
        <v>0.200949094424378</v>
      </c>
      <c r="F279" s="58">
        <f>Samples_for_P_analysis[[#This Row],[Column7]]-$E$287</f>
        <v>0.19210017529947196</v>
      </c>
      <c r="G279" s="68">
        <f>(Samples_for_P_analysis[[#This Row],[Column12]]*50/1000)/Samples_for_P_analysis[[#This Row],[Column2]]</f>
        <v>9.2623035342079049E-3</v>
      </c>
      <c r="H279" s="63">
        <v>0.5664125000000001</v>
      </c>
      <c r="I279" s="81">
        <f>(Samples_for_P_analysis[[#This Row],[Column43]]*50/1000)/Samples_for_P_analysis[[#This Row],[Column2]]</f>
        <v>2.7310149469623918E-2</v>
      </c>
      <c r="J279" s="71">
        <v>1.8329451479851049</v>
      </c>
      <c r="K279" s="71">
        <f>Samples_for_P_analysis[[#This Row],[Column5]]-$J$287</f>
        <v>1.826157411640668</v>
      </c>
      <c r="L279">
        <f>(Samples_for_P_analysis[[#This Row],[Column11]]*45/1000)/Samples_for_P_analysis[[#This Row],[Column2]]</f>
        <v>7.9245017862902667E-2</v>
      </c>
      <c r="N279" s="88">
        <f>Samples_for_P_analysis[[#This Row],[Column32]]+Samples_for_P_analysis[[#This Row],[Column4]]+Samples_for_P_analysis[[#This Row],[Column42]]+Samples_for_P_analysis[[#This Row],[Column8]]</f>
        <v>0.13185943807984923</v>
      </c>
      <c r="O279">
        <f>Samples_for_P_analysis[[#This Row],[Column9]]*1000</f>
        <v>131.85943807984924</v>
      </c>
    </row>
    <row r="280" spans="1:15">
      <c r="A280" s="5">
        <v>308</v>
      </c>
      <c r="B280" s="10">
        <v>1.018</v>
      </c>
      <c r="C280" s="51">
        <v>1.3397135</v>
      </c>
      <c r="D280" s="68">
        <f>(Samples_for_P_analysis[[#This Row],[Column3]]*50/1000)/Samples_for_P_analysis[[#This Row],[Column2]]</f>
        <v>6.580125245579567E-2</v>
      </c>
      <c r="E280" s="58">
        <v>0.58469409948395701</v>
      </c>
      <c r="F280" s="58">
        <f>Samples_for_P_analysis[[#This Row],[Column7]]-$E$287</f>
        <v>0.57584518035905097</v>
      </c>
      <c r="G280" s="68">
        <f>(Samples_for_P_analysis[[#This Row],[Column12]]*50/1000)/Samples_for_P_analysis[[#This Row],[Column2]]</f>
        <v>2.8283162100149851E-2</v>
      </c>
      <c r="H280" s="63">
        <v>1.8094625000000002</v>
      </c>
      <c r="I280" s="81">
        <f>(Samples_for_P_analysis[[#This Row],[Column43]]*50/1000)/Samples_for_P_analysis[[#This Row],[Column2]]</f>
        <v>8.8873403732809442E-2</v>
      </c>
      <c r="J280" s="71">
        <v>1.7445609156092814</v>
      </c>
      <c r="K280" s="71">
        <f>Samples_for_P_analysis[[#This Row],[Column5]]-$J$287</f>
        <v>1.7377731792648445</v>
      </c>
      <c r="L280">
        <f>(Samples_for_P_analysis[[#This Row],[Column11]]*45/1000)/Samples_for_P_analysis[[#This Row],[Column2]]</f>
        <v>7.6817085527424361E-2</v>
      </c>
      <c r="N280" s="88">
        <f>Samples_for_P_analysis[[#This Row],[Column32]]+Samples_for_P_analysis[[#This Row],[Column4]]+Samples_for_P_analysis[[#This Row],[Column42]]+Samples_for_P_analysis[[#This Row],[Column8]]</f>
        <v>0.25977490381617929</v>
      </c>
      <c r="O280">
        <f>Samples_for_P_analysis[[#This Row],[Column9]]*1000</f>
        <v>259.77490381617929</v>
      </c>
    </row>
    <row r="281" spans="1:15">
      <c r="A281" s="5">
        <v>326</v>
      </c>
      <c r="B281" s="10">
        <v>1.1140000000000001</v>
      </c>
      <c r="C281" s="51">
        <v>0.3679751</v>
      </c>
      <c r="D281" s="68">
        <f>(Samples_for_P_analysis[[#This Row],[Column3]]*50/1000)/Samples_for_P_analysis[[#This Row],[Column2]]</f>
        <v>1.6515938061041294E-2</v>
      </c>
      <c r="E281" s="58">
        <v>0.28282916427850502</v>
      </c>
      <c r="F281" s="58">
        <f>Samples_for_P_analysis[[#This Row],[Column7]]-$E$287</f>
        <v>0.27398024515359898</v>
      </c>
      <c r="G281" s="68">
        <f>(Samples_for_P_analysis[[#This Row],[Column12]]*50/1000)/Samples_for_P_analysis[[#This Row],[Column2]]</f>
        <v>1.2297138471885051E-2</v>
      </c>
      <c r="H281" s="63">
        <v>0.60883750000000003</v>
      </c>
      <c r="I281" s="81">
        <f>(Samples_for_P_analysis[[#This Row],[Column43]]*50/1000)/Samples_for_P_analysis[[#This Row],[Column2]]</f>
        <v>2.7326638240574509E-2</v>
      </c>
      <c r="J281" s="71">
        <v>2.32246217779625</v>
      </c>
      <c r="K281" s="71">
        <f>Samples_for_P_analysis[[#This Row],[Column5]]-$J$287</f>
        <v>2.3156744414518129</v>
      </c>
      <c r="L281">
        <f>(Samples_for_P_analysis[[#This Row],[Column11]]*45/1000)/Samples_for_P_analysis[[#This Row],[Column2]]</f>
        <v>9.3541606701374846E-2</v>
      </c>
      <c r="N281" s="88">
        <f>Samples_for_P_analysis[[#This Row],[Column32]]+Samples_for_P_analysis[[#This Row],[Column4]]+Samples_for_P_analysis[[#This Row],[Column42]]+Samples_for_P_analysis[[#This Row],[Column8]]</f>
        <v>0.1496813214748757</v>
      </c>
      <c r="O281">
        <f>Samples_for_P_analysis[[#This Row],[Column9]]*1000</f>
        <v>149.68132147487569</v>
      </c>
    </row>
    <row r="282" spans="1:15">
      <c r="A282" s="5">
        <v>369</v>
      </c>
      <c r="B282" s="10">
        <v>1.0309999999999999</v>
      </c>
      <c r="C282" s="51">
        <v>1.6814180000000001</v>
      </c>
      <c r="D282" s="6">
        <f>(Samples_for_P_analysis[[#This Row],[Column3]]*50/1000)/Samples_for_P_analysis[[#This Row],[Column2]]</f>
        <v>8.1543064985451025E-2</v>
      </c>
      <c r="E282" s="58">
        <v>0.648464933363605</v>
      </c>
      <c r="F282" s="58">
        <f>Samples_for_P_analysis[[#This Row],[Column7]]-$E$287</f>
        <v>0.63961601423869896</v>
      </c>
      <c r="G282" s="68">
        <f>(Samples_for_P_analysis[[#This Row],[Column12]]*50/1000)/Samples_for_P_analysis[[#This Row],[Column2]]</f>
        <v>3.1019205346202665E-2</v>
      </c>
      <c r="H282" s="63">
        <v>3.7728375000000001</v>
      </c>
      <c r="I282" s="87">
        <f>(Samples_for_P_analysis[[#This Row],[Column43]]*50/1000)/Samples_for_P_analysis[[#This Row],[Column2]]</f>
        <v>0.18296981086323957</v>
      </c>
      <c r="J282" s="71">
        <v>5.0643477045705554</v>
      </c>
      <c r="K282" s="71">
        <f>Samples_for_P_analysis[[#This Row],[Column5]]-$J$287</f>
        <v>5.0575599682261183</v>
      </c>
      <c r="L282">
        <f>(Samples_for_P_analysis[[#This Row],[Column11]]*45/1000)/Samples_for_P_analysis[[#This Row],[Column2]]</f>
        <v>0.22074704032024767</v>
      </c>
      <c r="N282" s="88">
        <f>Samples_for_P_analysis[[#This Row],[Column32]]+Samples_for_P_analysis[[#This Row],[Column4]]+Samples_for_P_analysis[[#This Row],[Column42]]+Samples_for_P_analysis[[#This Row],[Column8]]</f>
        <v>0.51627912151514099</v>
      </c>
      <c r="O282">
        <f>Samples_for_P_analysis[[#This Row],[Column9]]*1000</f>
        <v>516.27912151514101</v>
      </c>
    </row>
    <row r="283" spans="1:15">
      <c r="A283" s="31" t="s">
        <v>296</v>
      </c>
      <c r="B283" s="32">
        <v>1.0109999999999999</v>
      </c>
      <c r="C283" s="54">
        <v>0.16552960000000003</v>
      </c>
      <c r="D283" s="45">
        <f>(Samples_for_P_analysis[[#This Row],[Column3]]*50/1000)/Samples_for_P_analysis[[#This Row],[Column2]]</f>
        <v>8.1864292779426327E-3</v>
      </c>
      <c r="E283" s="60">
        <v>0.22585198838051901</v>
      </c>
      <c r="F283" s="58">
        <f>Samples_for_P_analysis[[#This Row],[Column7]]-$E$287</f>
        <v>0.21700306925561297</v>
      </c>
      <c r="G283" s="68">
        <f>(Samples_for_P_analysis[[#This Row],[Column12]]*50/1000)/Samples_for_P_analysis[[#This Row],[Column2]]</f>
        <v>1.0732100358833482E-2</v>
      </c>
      <c r="H283" s="64">
        <v>1.9775000000000001E-2</v>
      </c>
      <c r="I283" s="86">
        <f>(Samples_for_P_analysis[[#This Row],[Column43]]*50/1000)/Samples_for_P_analysis[[#This Row],[Column2]]</f>
        <v>9.7799208704253226E-4</v>
      </c>
      <c r="J283" s="73">
        <v>3.3395266221685147</v>
      </c>
      <c r="K283" s="71">
        <f>Samples_for_P_analysis[[#This Row],[Column5]]-$J$287</f>
        <v>3.3327388858240776</v>
      </c>
      <c r="L283">
        <f>(Samples_for_P_analysis[[#This Row],[Column11]]*45/1000)/Samples_for_P_analysis[[#This Row],[Column2]]</f>
        <v>0.14834149343430614</v>
      </c>
      <c r="N283" s="88">
        <f>Samples_for_P_analysis[[#This Row],[Column32]]+Samples_for_P_analysis[[#This Row],[Column4]]+Samples_for_P_analysis[[#This Row],[Column42]]+Samples_for_P_analysis[[#This Row],[Column8]]</f>
        <v>0.16823801515812478</v>
      </c>
      <c r="O283">
        <f>Samples_for_P_analysis[[#This Row],[Column9]]*1000</f>
        <v>168.2380151581248</v>
      </c>
    </row>
    <row r="284" spans="1:15">
      <c r="A284" s="31" t="s">
        <v>297</v>
      </c>
      <c r="B284" s="32">
        <v>1.0249999999999999</v>
      </c>
      <c r="C284" s="54">
        <v>0.1589991</v>
      </c>
      <c r="D284" s="45">
        <f>(Samples_for_P_analysis[[#This Row],[Column3]]*50/1000)/Samples_for_P_analysis[[#This Row],[Column2]]</f>
        <v>7.7560536585365861E-3</v>
      </c>
      <c r="E284" s="60">
        <v>0.232868357439659</v>
      </c>
      <c r="F284" s="58">
        <f>Samples_for_P_analysis[[#This Row],[Column7]]-$E$287</f>
        <v>0.22401943831475296</v>
      </c>
      <c r="G284" s="68">
        <f>(Samples_for_P_analysis[[#This Row],[Column12]]*50/1000)/Samples_for_P_analysis[[#This Row],[Column2]]</f>
        <v>1.0927777478768438E-2</v>
      </c>
      <c r="H284" s="64">
        <v>5.9324999999999996E-2</v>
      </c>
      <c r="I284" s="86">
        <f>(Samples_for_P_analysis[[#This Row],[Column43]]*50/1000)/Samples_for_P_analysis[[#This Row],[Column2]]</f>
        <v>2.89390243902439E-3</v>
      </c>
      <c r="J284" s="73">
        <v>3.1473615919647084</v>
      </c>
      <c r="K284" s="71">
        <f>Samples_for_P_analysis[[#This Row],[Column5]]-$J$287</f>
        <v>3.1405738556202714</v>
      </c>
      <c r="L284">
        <f>(Samples_for_P_analysis[[#This Row],[Column11]]*45/1000)/Samples_for_P_analysis[[#This Row],[Column2]]</f>
        <v>0.13787885219796314</v>
      </c>
      <c r="N284" s="88">
        <f>Samples_for_P_analysis[[#This Row],[Column32]]+Samples_for_P_analysis[[#This Row],[Column4]]+Samples_for_P_analysis[[#This Row],[Column42]]+Samples_for_P_analysis[[#This Row],[Column8]]</f>
        <v>0.15945658577429256</v>
      </c>
      <c r="O284">
        <f>Samples_for_P_analysis[[#This Row],[Column9]]*1000</f>
        <v>159.45658577429256</v>
      </c>
    </row>
    <row r="285" spans="1:15">
      <c r="A285" s="24" t="s">
        <v>298</v>
      </c>
      <c r="B285" s="25">
        <v>1.032</v>
      </c>
      <c r="C285" s="53">
        <v>0.39540320000000001</v>
      </c>
      <c r="D285" s="43">
        <f>(Samples_for_P_analysis[[#This Row],[Column3]]*50/1000)/Samples_for_P_analysis[[#This Row],[Column2]]</f>
        <v>1.9157131782945737E-2</v>
      </c>
      <c r="E285" s="59">
        <v>6.2727011884150405E-2</v>
      </c>
      <c r="F285" s="58">
        <f>Samples_for_P_analysis[[#This Row],[Column7]]-$E$287</f>
        <v>5.3878092759244364E-2</v>
      </c>
      <c r="G285" s="68">
        <f>(Samples_for_P_analysis[[#This Row],[Column12]]*50/1000)/Samples_for_P_analysis[[#This Row],[Column2]]</f>
        <v>2.6103727112036998E-3</v>
      </c>
      <c r="H285" s="65">
        <v>1.4124999999999997E-3</v>
      </c>
      <c r="I285" s="83">
        <f>(Samples_for_P_analysis[[#This Row],[Column43]]*50/1000)/Samples_for_P_analysis[[#This Row],[Column2]]</f>
        <v>6.8435077519379822E-5</v>
      </c>
      <c r="J285" s="72">
        <v>5.8828141612342755</v>
      </c>
      <c r="K285" s="71">
        <f>Samples_for_P_analysis[[#This Row],[Column5]]-$J$287</f>
        <v>5.8760264248898384</v>
      </c>
      <c r="L285">
        <f>(Samples_for_P_analysis[[#This Row],[Column11]]*45/1000)/Samples_for_P_analysis[[#This Row],[Column2]]</f>
        <v>0.25622208248066158</v>
      </c>
      <c r="N285" s="88">
        <f>Samples_for_P_analysis[[#This Row],[Column32]]+Samples_for_P_analysis[[#This Row],[Column4]]+Samples_for_P_analysis[[#This Row],[Column42]]+Samples_for_P_analysis[[#This Row],[Column8]]</f>
        <v>0.27805802205233038</v>
      </c>
      <c r="O285">
        <f>Samples_for_P_analysis[[#This Row],[Column9]]*1000</f>
        <v>278.05802205233039</v>
      </c>
    </row>
    <row r="286" spans="1:15">
      <c r="A286" s="24" t="s">
        <v>299</v>
      </c>
      <c r="B286" s="25">
        <v>1.0369999999999999</v>
      </c>
      <c r="C286" s="53">
        <v>0.3771178</v>
      </c>
      <c r="D286" s="43">
        <f>(Samples_for_P_analysis[[#This Row],[Column3]]*50/1000)/Samples_for_P_analysis[[#This Row],[Column2]]</f>
        <v>1.8183114754098364E-2</v>
      </c>
      <c r="E286" s="59">
        <v>6.0748754473706097E-2</v>
      </c>
      <c r="F286" s="58">
        <f>Samples_for_P_analysis[[#This Row],[Column7]]-$E$287</f>
        <v>5.1899835348800057E-2</v>
      </c>
      <c r="G286" s="68">
        <f>(Samples_for_P_analysis[[#This Row],[Column12]]*50/1000)/Samples_for_P_analysis[[#This Row],[Column2]]</f>
        <v>2.5024028615622017E-3</v>
      </c>
      <c r="H286" s="65">
        <v>1.4124999999999997E-3</v>
      </c>
      <c r="I286" s="83">
        <f>(Samples_for_P_analysis[[#This Row],[Column43]]*50/1000)/Samples_for_P_analysis[[#This Row],[Column2]]</f>
        <v>6.8105110896817729E-5</v>
      </c>
      <c r="J286" s="72">
        <v>5.7691337376800362</v>
      </c>
      <c r="K286" s="71">
        <f>Samples_for_P_analysis[[#This Row],[Column5]]-$J$287</f>
        <v>5.7623460013355992</v>
      </c>
      <c r="L286">
        <f>(Samples_for_P_analysis[[#This Row],[Column11]]*45/1000)/Samples_for_P_analysis[[#This Row],[Column2]]</f>
        <v>0.25005358732893151</v>
      </c>
      <c r="N286" s="88">
        <f>Samples_for_P_analysis[[#This Row],[Column32]]+Samples_for_P_analysis[[#This Row],[Column4]]+Samples_for_P_analysis[[#This Row],[Column42]]+Samples_for_P_analysis[[#This Row],[Column8]]</f>
        <v>0.27080721005548891</v>
      </c>
      <c r="O286">
        <f>Samples_for_P_analysis[[#This Row],[Column9]]*1000</f>
        <v>270.80721005548889</v>
      </c>
    </row>
    <row r="287" spans="1:15">
      <c r="A287" s="66" t="s">
        <v>300</v>
      </c>
      <c r="B287" s="20"/>
      <c r="C287" s="20">
        <v>-5.5194999999999994E-2</v>
      </c>
      <c r="D287" s="44"/>
      <c r="E287" s="44">
        <v>8.8489191249060406E-3</v>
      </c>
      <c r="F287" s="58">
        <f>Samples_for_P_analysis[[#This Row],[Column7]]-$E$287</f>
        <v>0</v>
      </c>
      <c r="G287" s="44"/>
      <c r="H287" s="67">
        <v>0</v>
      </c>
      <c r="I287" s="84"/>
      <c r="J287" s="44">
        <v>6.7877363444369294E-3</v>
      </c>
      <c r="K287" s="71">
        <f>Samples_for_P_analysis[[#This Row],[Column5]]-$J$287</f>
        <v>0</v>
      </c>
      <c r="L287" s="22"/>
      <c r="N287" s="88">
        <f>Samples_for_P_analysis[[#This Row],[Column32]]+Samples_for_P_analysis[[#This Row],[Column4]]+Samples_for_P_analysis[[#This Row],[Column42]]+Samples_for_P_analysis[[#This Row],[Column8]]</f>
        <v>0</v>
      </c>
      <c r="O287">
        <f>Samples_for_P_analysis[[#This Row],[Column9]]*1000</f>
        <v>0</v>
      </c>
    </row>
    <row r="290" spans="1:6">
      <c r="A290" s="4"/>
      <c r="B290" s="9"/>
      <c r="C290" s="52"/>
      <c r="D290" s="56"/>
      <c r="E290" s="61"/>
      <c r="F290" s="61"/>
    </row>
  </sheetData>
  <phoneticPr fontId="5" type="noConversion"/>
  <conditionalFormatting sqref="I3:I287">
    <cfRule type="cellIs" dxfId="0" priority="1" operator="greaterThan">
      <formula>1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"/>
  <sheetViews>
    <sheetView zoomScale="130" zoomScaleNormal="130" zoomScalePageLayoutView="130" workbookViewId="0">
      <selection activeCell="B2" sqref="B2"/>
    </sheetView>
  </sheetViews>
  <sheetFormatPr defaultColWidth="9.140625" defaultRowHeight="15"/>
  <cols>
    <col min="2" max="3" width="12.7109375" customWidth="1"/>
    <col min="4" max="4" width="7.7109375" customWidth="1"/>
    <col min="5" max="5" width="12.7109375" customWidth="1"/>
    <col min="6" max="6" width="7.7109375" customWidth="1"/>
    <col min="7" max="7" width="11.42578125" bestFit="1" customWidth="1"/>
  </cols>
  <sheetData>
    <row r="1" spans="1:20">
      <c r="A1" t="s">
        <v>0</v>
      </c>
      <c r="B1" t="s">
        <v>1</v>
      </c>
      <c r="C1" t="s">
        <v>302</v>
      </c>
      <c r="D1" s="35" t="s">
        <v>263</v>
      </c>
      <c r="E1" t="s">
        <v>301</v>
      </c>
      <c r="F1" s="36" t="s">
        <v>264</v>
      </c>
      <c r="H1" t="s">
        <v>0</v>
      </c>
      <c r="I1" t="s">
        <v>1</v>
      </c>
      <c r="J1" t="s">
        <v>302</v>
      </c>
      <c r="K1" s="36" t="s">
        <v>263</v>
      </c>
      <c r="L1" t="s">
        <v>301</v>
      </c>
      <c r="M1" s="36" t="s">
        <v>264</v>
      </c>
      <c r="O1" t="s">
        <v>0</v>
      </c>
      <c r="P1" t="s">
        <v>1</v>
      </c>
      <c r="Q1" t="s">
        <v>302</v>
      </c>
      <c r="R1" s="36" t="s">
        <v>263</v>
      </c>
      <c r="S1" t="s">
        <v>301</v>
      </c>
      <c r="T1" s="36" t="s">
        <v>264</v>
      </c>
    </row>
    <row r="2" spans="1:20">
      <c r="A2" t="s">
        <v>12</v>
      </c>
      <c r="B2">
        <v>1.0780000000000001</v>
      </c>
      <c r="C2">
        <v>1.709525</v>
      </c>
      <c r="D2" s="38">
        <v>7.9291512059369185E-2</v>
      </c>
      <c r="E2">
        <v>0.14970804242497801</v>
      </c>
      <c r="F2" s="37">
        <v>6.9437867544052869E-3</v>
      </c>
      <c r="H2" s="2">
        <v>10</v>
      </c>
      <c r="I2">
        <v>1.014</v>
      </c>
      <c r="J2">
        <v>1.6002899999999998</v>
      </c>
      <c r="K2" s="37">
        <v>7.8909763313609452E-2</v>
      </c>
      <c r="L2">
        <v>0.14970804242497801</v>
      </c>
      <c r="M2" s="37">
        <v>7.3820533740127222E-3</v>
      </c>
      <c r="R2" s="39"/>
      <c r="T2" s="37"/>
    </row>
    <row r="3" spans="1:20">
      <c r="A3" t="s">
        <v>13</v>
      </c>
      <c r="B3">
        <v>1.0640000000000001</v>
      </c>
      <c r="C3">
        <v>0.93263700000000005</v>
      </c>
      <c r="D3" s="38">
        <v>4.3826926691729322E-2</v>
      </c>
      <c r="E3">
        <v>0.123377896538595</v>
      </c>
      <c r="F3" s="37">
        <v>5.7978334839565325E-3</v>
      </c>
      <c r="H3" s="2">
        <v>14</v>
      </c>
      <c r="I3">
        <v>1.038</v>
      </c>
      <c r="J3">
        <v>0.73351199999999994</v>
      </c>
      <c r="K3" s="37">
        <v>3.5332947976878609E-2</v>
      </c>
      <c r="L3">
        <v>0.123377896538595</v>
      </c>
      <c r="M3" s="37">
        <v>5.9430586001250002E-3</v>
      </c>
      <c r="R3" s="39"/>
      <c r="T3" s="37"/>
    </row>
    <row r="4" spans="1:20">
      <c r="A4" t="s">
        <v>14</v>
      </c>
      <c r="B4">
        <v>1.242</v>
      </c>
      <c r="C4">
        <v>1.2933349999999999</v>
      </c>
      <c r="D4" s="38">
        <v>5.2066626409017706E-2</v>
      </c>
      <c r="E4">
        <v>8.0282208908272798E-2</v>
      </c>
      <c r="F4" s="37">
        <v>3.2319729834248308E-3</v>
      </c>
      <c r="H4" s="2">
        <v>18</v>
      </c>
      <c r="I4">
        <v>1.111</v>
      </c>
      <c r="J4">
        <v>1.022438</v>
      </c>
      <c r="K4" s="37">
        <v>4.601431143114311E-2</v>
      </c>
      <c r="L4">
        <v>8.0282208908272798E-2</v>
      </c>
      <c r="M4" s="37">
        <v>3.6130607069429698E-3</v>
      </c>
      <c r="R4" s="39"/>
      <c r="T4" s="37"/>
    </row>
    <row r="5" spans="1:20">
      <c r="A5" s="3" t="s">
        <v>65</v>
      </c>
      <c r="B5" s="40">
        <v>1.0580000000000001</v>
      </c>
      <c r="C5" s="3">
        <v>4.2812419999999998</v>
      </c>
      <c r="D5" s="41">
        <v>0.20232712665406424</v>
      </c>
      <c r="E5" s="3">
        <v>2.44543117302441</v>
      </c>
      <c r="F5" s="42">
        <v>0.11556858095578497</v>
      </c>
      <c r="H5" s="2">
        <v>91</v>
      </c>
      <c r="I5">
        <v>1.0580000000000001</v>
      </c>
      <c r="J5">
        <v>5.3312040000000005</v>
      </c>
      <c r="K5" s="37">
        <v>0.25194725897920606</v>
      </c>
      <c r="L5">
        <v>0.44539173289980899</v>
      </c>
      <c r="M5" s="37">
        <v>2.104875864365827E-2</v>
      </c>
      <c r="O5" s="2">
        <v>91</v>
      </c>
      <c r="P5">
        <v>1.0269999999999999</v>
      </c>
      <c r="Q5">
        <v>4.6337039999999998</v>
      </c>
      <c r="R5" s="39">
        <v>0.22559415774099317</v>
      </c>
      <c r="S5">
        <v>0.44672330752406297</v>
      </c>
      <c r="T5" s="37">
        <v>2.1748943891142306E-2</v>
      </c>
    </row>
    <row r="6" spans="1:20">
      <c r="A6" s="3" t="s">
        <v>67</v>
      </c>
      <c r="B6" s="3">
        <v>1.145</v>
      </c>
      <c r="C6" s="3">
        <v>1.644598</v>
      </c>
      <c r="D6" s="41">
        <v>7.1816506550218331E-2</v>
      </c>
      <c r="E6" s="3">
        <v>2.6355994068390198</v>
      </c>
      <c r="F6" s="42">
        <v>0.11509167715454235</v>
      </c>
      <c r="H6" s="2">
        <v>95</v>
      </c>
      <c r="I6">
        <v>1.002</v>
      </c>
      <c r="J6">
        <v>1.6756619999999998</v>
      </c>
      <c r="K6" s="37">
        <v>8.3615868263473045E-2</v>
      </c>
      <c r="L6">
        <v>9.8960671480700799E-2</v>
      </c>
      <c r="M6" s="37">
        <v>4.9381572595160071E-3</v>
      </c>
      <c r="O6" s="2">
        <v>95</v>
      </c>
      <c r="P6">
        <v>1.026</v>
      </c>
      <c r="Q6">
        <v>1.6166130000000001</v>
      </c>
      <c r="R6" s="39">
        <v>7.8782309941520468E-2</v>
      </c>
      <c r="S6">
        <v>0.12236773753135</v>
      </c>
      <c r="T6" s="37">
        <v>5.9633400356408376E-3</v>
      </c>
    </row>
    <row r="7" spans="1:20">
      <c r="A7" t="s">
        <v>144</v>
      </c>
      <c r="B7">
        <v>1.002</v>
      </c>
      <c r="C7">
        <v>2.3740429999999999</v>
      </c>
      <c r="D7" s="38">
        <v>0.11846521956087823</v>
      </c>
      <c r="E7">
        <v>0.28319473610032903</v>
      </c>
      <c r="F7" s="37">
        <v>1.4131473857301846E-2</v>
      </c>
      <c r="H7" s="2">
        <v>279</v>
      </c>
      <c r="I7">
        <v>1.022</v>
      </c>
      <c r="J7">
        <v>1.9017780000000002</v>
      </c>
      <c r="K7" s="37">
        <v>9.3041976516634053E-2</v>
      </c>
      <c r="L7">
        <v>0.28319473610032903</v>
      </c>
      <c r="M7" s="37">
        <v>1.3854928380642319E-2</v>
      </c>
      <c r="R7" s="39"/>
      <c r="T7" s="37"/>
    </row>
    <row r="8" spans="1:20">
      <c r="A8" t="s">
        <v>147</v>
      </c>
      <c r="B8">
        <v>1.012</v>
      </c>
      <c r="C8">
        <v>1.2688550000000001</v>
      </c>
      <c r="D8" s="38">
        <v>6.2690464426877479E-2</v>
      </c>
      <c r="E8">
        <v>0.21976601931891401</v>
      </c>
      <c r="F8" s="37">
        <v>1.0858004907060969E-2</v>
      </c>
      <c r="H8" s="2">
        <v>288</v>
      </c>
      <c r="I8">
        <v>1.1499999999999999</v>
      </c>
      <c r="J8">
        <v>1.4872319999999999</v>
      </c>
      <c r="K8" s="37">
        <v>6.4662260869565225E-2</v>
      </c>
      <c r="L8">
        <v>0.21976601931891401</v>
      </c>
      <c r="M8" s="37">
        <v>9.5550443182136537E-3</v>
      </c>
      <c r="R8" s="39"/>
      <c r="T8" s="37"/>
    </row>
    <row r="9" spans="1:20">
      <c r="A9" t="s">
        <v>148</v>
      </c>
      <c r="B9">
        <v>1</v>
      </c>
      <c r="C9">
        <v>1.33464</v>
      </c>
      <c r="D9" s="38">
        <v>6.6732E-2</v>
      </c>
      <c r="E9">
        <v>0.245321102455824</v>
      </c>
      <c r="F9" s="37">
        <v>1.22660551227912E-2</v>
      </c>
      <c r="H9" s="2">
        <v>290</v>
      </c>
      <c r="I9">
        <v>1.016</v>
      </c>
      <c r="J9">
        <v>1.3239259999999999</v>
      </c>
      <c r="K9" s="37">
        <v>6.5153838582677162E-2</v>
      </c>
      <c r="L9">
        <v>0.245321102455824</v>
      </c>
      <c r="M9" s="37">
        <v>1.2072888900385039E-2</v>
      </c>
      <c r="R9" s="39"/>
      <c r="T9" s="37"/>
    </row>
    <row r="10" spans="1:20">
      <c r="A10" t="s">
        <v>157</v>
      </c>
      <c r="B10">
        <v>1.034</v>
      </c>
      <c r="C10">
        <v>3.0450499999999998</v>
      </c>
      <c r="D10" s="38">
        <v>0.14724613152804641</v>
      </c>
      <c r="E10">
        <v>0.218924993782251</v>
      </c>
      <c r="F10" s="37">
        <v>1.0586314979799371E-2</v>
      </c>
      <c r="H10" s="2">
        <v>315</v>
      </c>
      <c r="I10">
        <v>1.0369999999999999</v>
      </c>
      <c r="J10">
        <v>2.9428639999999997</v>
      </c>
      <c r="K10" s="37">
        <v>0.14189315332690453</v>
      </c>
      <c r="L10">
        <v>0.218924993782251</v>
      </c>
      <c r="M10" s="37">
        <v>1.0555689189115286E-2</v>
      </c>
      <c r="R10" s="39"/>
      <c r="T10" s="37"/>
    </row>
    <row r="11" spans="1:20">
      <c r="A11" t="s">
        <v>158</v>
      </c>
      <c r="B11">
        <v>1.0189999999999999</v>
      </c>
      <c r="C11">
        <v>1.808292</v>
      </c>
      <c r="D11" s="38">
        <v>8.8728753680078529E-2</v>
      </c>
      <c r="E11">
        <v>0.24358957929210501</v>
      </c>
      <c r="F11" s="37">
        <v>1.1952383674784349E-2</v>
      </c>
      <c r="H11" s="2">
        <v>321</v>
      </c>
      <c r="I11">
        <v>1.03</v>
      </c>
      <c r="J11">
        <v>1.81148</v>
      </c>
      <c r="K11" s="37">
        <v>8.7935922330097088E-2</v>
      </c>
      <c r="L11">
        <v>0.24358957929210501</v>
      </c>
      <c r="M11" s="37">
        <v>1.1824736858840048E-2</v>
      </c>
      <c r="R11" s="39"/>
      <c r="T11" s="37"/>
    </row>
    <row r="12" spans="1:20">
      <c r="A12" t="s">
        <v>159</v>
      </c>
      <c r="B12">
        <v>1.016</v>
      </c>
      <c r="C12">
        <v>6.229044</v>
      </c>
      <c r="D12" s="38">
        <v>0.3065474409448819</v>
      </c>
      <c r="E12">
        <v>0.51101514644801305</v>
      </c>
      <c r="F12" s="37">
        <v>2.5148383191339222E-2</v>
      </c>
      <c r="H12" s="2">
        <v>324</v>
      </c>
      <c r="I12">
        <v>1.036</v>
      </c>
      <c r="J12">
        <v>6.0722240000000003</v>
      </c>
      <c r="K12" s="37">
        <v>0.29306100386100381</v>
      </c>
      <c r="L12">
        <v>0.51101514644801305</v>
      </c>
      <c r="M12" s="37">
        <v>2.4662893168340395E-2</v>
      </c>
      <c r="R12" s="39"/>
      <c r="T12" s="37"/>
    </row>
    <row r="13" spans="1:20">
      <c r="A13" s="3" t="s">
        <v>171</v>
      </c>
      <c r="B13" s="3">
        <v>1.0229999999999999</v>
      </c>
      <c r="C13" s="3">
        <v>6.2079050000000002</v>
      </c>
      <c r="D13" s="41">
        <v>0.30341666666666672</v>
      </c>
      <c r="E13" s="3">
        <v>0.75902279838905395</v>
      </c>
      <c r="F13" s="42">
        <v>3.7097888484313495E-2</v>
      </c>
      <c r="H13" s="2">
        <v>361</v>
      </c>
      <c r="I13">
        <v>1.008</v>
      </c>
      <c r="J13">
        <v>6.2166560000000004</v>
      </c>
      <c r="K13" s="37">
        <v>0.30836587301587304</v>
      </c>
      <c r="L13">
        <v>0.85335352520796404</v>
      </c>
      <c r="M13" s="37">
        <v>4.2329043909125202E-2</v>
      </c>
      <c r="R13" s="39"/>
      <c r="T13" s="37"/>
    </row>
    <row r="14" spans="1:20">
      <c r="A14" s="3" t="s">
        <v>172</v>
      </c>
      <c r="B14" s="3">
        <v>1.06</v>
      </c>
      <c r="C14" s="3">
        <v>10.667510000000002</v>
      </c>
      <c r="D14" s="41">
        <v>0.5031844339622642</v>
      </c>
      <c r="E14" s="3">
        <v>0.52755388124297697</v>
      </c>
      <c r="F14" s="42">
        <v>2.4884617039763062E-2</v>
      </c>
      <c r="H14" s="2">
        <v>363</v>
      </c>
      <c r="I14">
        <v>1.0229999999999999</v>
      </c>
      <c r="J14">
        <v>11.969863999999999</v>
      </c>
      <c r="K14" s="37">
        <v>0.58503734115347017</v>
      </c>
      <c r="L14">
        <v>0.68151107969290703</v>
      </c>
      <c r="M14" s="37">
        <v>3.3309436935137202E-2</v>
      </c>
      <c r="R14" s="39"/>
      <c r="T14" s="37"/>
    </row>
    <row r="15" spans="1:20">
      <c r="A15" s="3" t="s">
        <v>174</v>
      </c>
      <c r="B15" s="3">
        <v>1.0580000000000001</v>
      </c>
      <c r="C15" s="3">
        <v>14.4397</v>
      </c>
      <c r="D15" s="41">
        <v>0.68240548204158791</v>
      </c>
      <c r="E15" s="3">
        <v>0.53605208699252704</v>
      </c>
      <c r="F15" s="42">
        <v>2.5333274432539084E-2</v>
      </c>
      <c r="H15" s="2">
        <v>369</v>
      </c>
      <c r="I15">
        <v>1.012</v>
      </c>
      <c r="J15">
        <v>16.326896000000001</v>
      </c>
      <c r="K15" s="37">
        <v>0.80666482213438739</v>
      </c>
      <c r="L15">
        <v>0.58272104681053405</v>
      </c>
      <c r="M15" s="37">
        <v>2.879056555388014E-2</v>
      </c>
      <c r="O15" s="2">
        <v>369</v>
      </c>
      <c r="P15">
        <v>1.0309999999999999</v>
      </c>
      <c r="Q15">
        <v>20.464479999999998</v>
      </c>
      <c r="R15" s="39">
        <v>0.99245780795344329</v>
      </c>
      <c r="S15">
        <v>0.648464933363605</v>
      </c>
      <c r="T15" s="37">
        <v>3.1448347883782979E-2</v>
      </c>
    </row>
    <row r="16" spans="1:20">
      <c r="A16" s="3" t="s">
        <v>179</v>
      </c>
      <c r="B16" s="3">
        <v>1.046</v>
      </c>
      <c r="C16" s="3">
        <v>50.84225</v>
      </c>
      <c r="D16" s="41">
        <v>2.4303178776290628</v>
      </c>
      <c r="E16" s="3">
        <v>1.33548808633287</v>
      </c>
      <c r="F16" s="42">
        <v>6.3837862635414439E-2</v>
      </c>
      <c r="H16" s="2">
        <v>383</v>
      </c>
      <c r="I16">
        <v>1.0529999999999999</v>
      </c>
      <c r="J16">
        <v>63.129440000000002</v>
      </c>
      <c r="K16" s="37">
        <v>2.9975992402659073</v>
      </c>
      <c r="L16">
        <v>1.52518620446104</v>
      </c>
      <c r="M16" s="37">
        <v>7.2420997362822426E-2</v>
      </c>
      <c r="R16" s="39"/>
      <c r="T16" s="37"/>
    </row>
    <row r="17" spans="1:20">
      <c r="D17" s="38"/>
      <c r="F17" s="37"/>
      <c r="H17" s="2"/>
      <c r="K17" s="37"/>
      <c r="M17" s="37"/>
      <c r="R17" s="39"/>
      <c r="T17" s="37"/>
    </row>
    <row r="18" spans="1:20">
      <c r="D18" s="38"/>
      <c r="F18" s="37"/>
      <c r="H18" s="2"/>
      <c r="K18" s="37"/>
      <c r="M18" s="37"/>
      <c r="R18" s="39"/>
      <c r="T18" s="37"/>
    </row>
    <row r="19" spans="1:20">
      <c r="A19" s="3" t="s">
        <v>149</v>
      </c>
      <c r="B19" s="3">
        <v>1.0169999999999999</v>
      </c>
      <c r="C19" s="3">
        <v>2.9924219999999999</v>
      </c>
      <c r="D19" s="41">
        <v>0.14712005899705013</v>
      </c>
      <c r="E19" s="3">
        <v>0.200949094424378</v>
      </c>
      <c r="F19" s="42">
        <v>9.8795031673735503E-3</v>
      </c>
      <c r="H19" s="2">
        <v>294</v>
      </c>
      <c r="I19">
        <v>1.0369999999999999</v>
      </c>
      <c r="J19">
        <v>3.3276040000000005</v>
      </c>
      <c r="K19" s="37">
        <v>0.16044378013500488</v>
      </c>
      <c r="L19">
        <v>0.200949094424378</v>
      </c>
      <c r="M19" s="37">
        <v>9.6889630869999039E-3</v>
      </c>
      <c r="R19" s="39"/>
      <c r="T19" s="37"/>
    </row>
    <row r="20" spans="1:20">
      <c r="A20" t="s">
        <v>155</v>
      </c>
      <c r="B20">
        <v>1.006</v>
      </c>
      <c r="C20">
        <v>12.768073000000001</v>
      </c>
      <c r="D20" s="38">
        <v>0.63459607355864822</v>
      </c>
      <c r="E20">
        <v>0.58469409948395701</v>
      </c>
      <c r="F20" s="37">
        <v>2.9060342916697665E-2</v>
      </c>
      <c r="H20" s="2">
        <v>308</v>
      </c>
      <c r="I20">
        <v>1.018</v>
      </c>
      <c r="J20">
        <v>13.397634999999999</v>
      </c>
      <c r="K20" s="37">
        <v>0.65803708251473481</v>
      </c>
      <c r="L20">
        <v>0.58469409948395701</v>
      </c>
      <c r="M20" s="37">
        <v>2.8717784846952702E-2</v>
      </c>
      <c r="R20" s="39"/>
      <c r="T20" s="37"/>
    </row>
    <row r="21" spans="1:20">
      <c r="A21" s="3" t="s">
        <v>160</v>
      </c>
      <c r="B21" s="3">
        <v>1.0029999999999999</v>
      </c>
      <c r="C21" s="3">
        <v>3.0055789999999996</v>
      </c>
      <c r="D21" s="41">
        <v>0.14982946161515451</v>
      </c>
      <c r="E21" s="3">
        <v>0.28282916427850502</v>
      </c>
      <c r="F21" s="42">
        <v>1.4099160731730063E-2</v>
      </c>
      <c r="H21" s="2">
        <v>326</v>
      </c>
      <c r="I21">
        <v>1.1140000000000001</v>
      </c>
      <c r="J21">
        <v>3.6802509999999997</v>
      </c>
      <c r="K21" s="37">
        <v>0.16518182226211844</v>
      </c>
      <c r="L21">
        <v>0.28282916427850502</v>
      </c>
      <c r="M21" s="37">
        <v>1.2694307193828771E-2</v>
      </c>
      <c r="R21" s="39"/>
      <c r="T21" s="37"/>
    </row>
    <row r="23" spans="1:20">
      <c r="A23" s="7"/>
      <c r="B23" s="4"/>
      <c r="C23" s="4"/>
      <c r="D23" s="4"/>
      <c r="E23" s="4"/>
      <c r="F23" s="4"/>
      <c r="G23" s="4"/>
      <c r="H23" s="4"/>
      <c r="I23" s="4"/>
    </row>
    <row r="24" spans="1:20">
      <c r="A24" s="7"/>
      <c r="B24" s="4"/>
      <c r="C24" s="4"/>
      <c r="D24" s="4"/>
      <c r="E24" s="4"/>
      <c r="F24" s="4"/>
      <c r="G24" s="4"/>
      <c r="H24" s="4"/>
      <c r="I24" s="4"/>
    </row>
    <row r="25" spans="1:20">
      <c r="A25" s="7"/>
      <c r="B25" s="4"/>
      <c r="C25" s="4"/>
      <c r="D25" s="4"/>
      <c r="E25" s="4"/>
      <c r="F25" s="4"/>
      <c r="G25" s="4"/>
      <c r="H25" s="4"/>
      <c r="I25" s="4"/>
    </row>
    <row r="26" spans="1:20">
      <c r="A26" s="7"/>
      <c r="B26" s="4"/>
      <c r="C26" s="4"/>
      <c r="D26" s="4"/>
      <c r="E26" s="4"/>
      <c r="F26" s="4"/>
      <c r="G26" s="4"/>
      <c r="H26" s="4"/>
      <c r="I26" s="4"/>
    </row>
    <row r="27" spans="1:20">
      <c r="A27" s="4"/>
      <c r="B27" s="4"/>
      <c r="C27" s="4"/>
      <c r="D27" s="4"/>
      <c r="E27" s="4"/>
      <c r="F27" s="4"/>
      <c r="G27" s="4"/>
      <c r="H27" s="4"/>
      <c r="I27" s="4"/>
    </row>
    <row r="28" spans="1:20">
      <c r="A28" s="4"/>
      <c r="B28" s="4"/>
      <c r="C28" s="4"/>
      <c r="D28" s="4"/>
      <c r="E28" s="4"/>
      <c r="F28" s="4"/>
      <c r="G28" s="4"/>
      <c r="H28" s="4"/>
      <c r="I28" s="4"/>
    </row>
    <row r="29" spans="1:20">
      <c r="A29" s="4"/>
      <c r="B29" s="4"/>
      <c r="C29" s="4"/>
      <c r="D29" s="4"/>
      <c r="E29" s="4"/>
      <c r="F29" s="4"/>
      <c r="G29" s="4"/>
      <c r="H29" s="4"/>
      <c r="I29" s="4"/>
    </row>
    <row r="30" spans="1:20">
      <c r="A30" s="4"/>
      <c r="B30" s="4"/>
      <c r="C30" s="4"/>
      <c r="D30" s="4"/>
      <c r="E30" s="4"/>
      <c r="F30" s="4"/>
      <c r="G30" s="4"/>
      <c r="H30" s="4"/>
      <c r="I30" s="4"/>
    </row>
    <row r="31" spans="1:20">
      <c r="A31" s="4"/>
      <c r="B31" s="4"/>
      <c r="C31" s="4"/>
      <c r="D31" s="4"/>
      <c r="E31" s="4"/>
      <c r="F31" s="4"/>
      <c r="G31" s="4"/>
      <c r="H31" s="4"/>
      <c r="I31" s="4"/>
    </row>
  </sheetData>
  <phoneticPr fontId="5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AF2FCA-2F57-4E3B-B20C-AE86CFD015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asabere</dc:creator>
  <cp:lastModifiedBy>Asabere, Stephen Boahen</cp:lastModifiedBy>
  <dcterms:created xsi:type="dcterms:W3CDTF">2018-06-28T12:31:52Z</dcterms:created>
  <dcterms:modified xsi:type="dcterms:W3CDTF">2026-01-23T17:31:03Z</dcterms:modified>
</cp:coreProperties>
</file>